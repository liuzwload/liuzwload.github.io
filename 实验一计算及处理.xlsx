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iuZh\Desktop\"/>
    </mc:Choice>
  </mc:AlternateContent>
  <xr:revisionPtr revIDLastSave="0" documentId="13_ncr:1_{BF7570F6-BD5B-41A5-BD2C-2932CBC635EE}" xr6:coauthVersionLast="47" xr6:coauthVersionMax="47" xr10:uidLastSave="{00000000-0000-0000-0000-000000000000}"/>
  <bookViews>
    <workbookView xWindow="2660" yWindow="2660" windowWidth="19200" windowHeight="11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1" l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12" i="1"/>
  <c r="N13" i="1"/>
  <c r="N14" i="1"/>
  <c r="N15" i="1"/>
  <c r="N16" i="1"/>
  <c r="N17" i="1"/>
  <c r="N18" i="1"/>
  <c r="N19" i="1"/>
  <c r="N20" i="1"/>
  <c r="N21" i="1"/>
  <c r="N22" i="1"/>
  <c r="N2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J7" i="1"/>
  <c r="J8" i="1"/>
  <c r="J9" i="1"/>
  <c r="J10" i="1"/>
  <c r="J11" i="1"/>
  <c r="J12" i="1"/>
  <c r="J13" i="1"/>
  <c r="J14" i="1"/>
  <c r="J15" i="1"/>
  <c r="J16" i="1"/>
  <c r="J17" i="1"/>
  <c r="J4" i="1"/>
  <c r="J5" i="1"/>
  <c r="J6" i="1"/>
  <c r="J3" i="1"/>
  <c r="L2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2" i="1"/>
  <c r="J18" i="1" l="1"/>
  <c r="J19" i="1" l="1"/>
  <c r="J20" i="1" l="1"/>
  <c r="J21" i="1" l="1"/>
  <c r="J22" i="1" l="1"/>
  <c r="J23" i="1" l="1"/>
  <c r="J24" i="1" l="1"/>
  <c r="J25" i="1" l="1"/>
  <c r="J26" i="1" l="1"/>
  <c r="J27" i="1" l="1"/>
  <c r="J28" i="1" l="1"/>
  <c r="J29" i="1" l="1"/>
  <c r="J30" i="1" l="1"/>
  <c r="J31" i="1" l="1"/>
  <c r="J32" i="1" l="1"/>
  <c r="J33" i="1" l="1"/>
  <c r="J34" i="1" l="1"/>
  <c r="J35" i="1" l="1"/>
  <c r="J36" i="1" l="1"/>
  <c r="J37" i="1" l="1"/>
  <c r="J38" i="1" l="1"/>
  <c r="J39" i="1" l="1"/>
  <c r="J40" i="1" l="1"/>
  <c r="J41" i="1" l="1"/>
  <c r="J42" i="1" l="1"/>
  <c r="J43" i="1" l="1"/>
  <c r="J44" i="1" l="1"/>
  <c r="J45" i="1" l="1"/>
  <c r="J46" i="1" l="1"/>
  <c r="J47" i="1" l="1"/>
  <c r="J48" i="1" l="1"/>
  <c r="J49" i="1" l="1"/>
  <c r="J50" i="1" l="1"/>
  <c r="J51" i="1" l="1"/>
  <c r="J52" i="1" l="1"/>
  <c r="J53" i="1" l="1"/>
  <c r="J54" i="1" l="1"/>
  <c r="J55" i="1" l="1"/>
  <c r="J56" i="1" l="1"/>
  <c r="J57" i="1" l="1"/>
  <c r="J58" i="1" l="1"/>
  <c r="J59" i="1" s="1"/>
  <c r="J60" i="1" s="1"/>
  <c r="J61" i="1" s="1"/>
</calcChain>
</file>

<file path=xl/sharedStrings.xml><?xml version="1.0" encoding="utf-8"?>
<sst xmlns="http://schemas.openxmlformats.org/spreadsheetml/2006/main" count="14" uniqueCount="14">
  <si>
    <t>基础Temperature (°C)</t>
    <phoneticPr fontId="2" type="noConversion"/>
  </si>
  <si>
    <t>基础Heat Flow Endo Up (mW)</t>
    <phoneticPr fontId="2" type="noConversion"/>
  </si>
  <si>
    <t>蓝宝石Heat Flow Endo Up (mW)</t>
    <phoneticPr fontId="2" type="noConversion"/>
  </si>
  <si>
    <t>试样Heat Flow Endo Up (mW)</t>
    <phoneticPr fontId="2" type="noConversion"/>
  </si>
  <si>
    <t>蓝宝石</t>
    <phoneticPr fontId="2" type="noConversion"/>
  </si>
  <si>
    <t>试样</t>
    <phoneticPr fontId="2" type="noConversion"/>
  </si>
  <si>
    <t>比值</t>
    <phoneticPr fontId="2" type="noConversion"/>
  </si>
  <si>
    <t>蓝宝石质量</t>
    <phoneticPr fontId="2" type="noConversion"/>
  </si>
  <si>
    <t>试样质量</t>
    <phoneticPr fontId="2" type="noConversion"/>
  </si>
  <si>
    <t>质量比</t>
    <phoneticPr fontId="2" type="noConversion"/>
  </si>
  <si>
    <t>蓝宝石比热容</t>
    <phoneticPr fontId="2" type="noConversion"/>
  </si>
  <si>
    <t>误差</t>
    <phoneticPr fontId="2" type="noConversion"/>
  </si>
  <si>
    <t>试样计算 J/（g*℃）</t>
    <phoneticPr fontId="2" type="noConversion"/>
  </si>
  <si>
    <t>参考 J/（g*℃）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</si>
</sst>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76" fontId="1" fillId="0" borderId="0"/>
    <xf numFmtId="176" fontId="1" fillId="0" borderId="0"/>
    <xf numFmtId="176" fontId="1" fillId="0" borderId="0" applyNumberFormat="0"/>
  </cellStyleXfs>
  <cellXfs count="2">
    <xf numFmtId="0" fontId="0" fillId="0" borderId="0" xfId="0"/>
    <xf numFmtId="176" fontId="0" fillId="0" borderId="0" xfId="0" applyNumberFormat="1"/>
  </cellXfs>
  <cellStyles count="4">
    <cellStyle name="常规" xfId="0" builtinId="0"/>
    <cellStyle name="样式 1" xfId="1" xr:uid="{C69C0FCB-E109-42A7-BBFC-E45F39786C3F}"/>
    <cellStyle name="样式 2" xfId="2" xr:uid="{C84B4209-B1D1-479F-8D4F-C073DD5E0EF9}"/>
    <cellStyle name="样式 3" xfId="3" xr:uid="{EDBA3275-E36B-4609-B4F7-64E5CF5624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workbookViewId="0">
      <selection activeCell="N2" sqref="N2"/>
    </sheetView>
  </sheetViews>
  <sheetFormatPr defaultRowHeight="1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11</v>
      </c>
    </row>
    <row r="2" spans="1:14" x14ac:dyDescent="0.3">
      <c r="A2">
        <v>-10</v>
      </c>
      <c r="B2">
        <v>-3.9018000000000002</v>
      </c>
      <c r="C2">
        <v>-3.8997000000000002</v>
      </c>
      <c r="D2">
        <v>-3.9076</v>
      </c>
      <c r="E2">
        <f t="shared" ref="E2:E33" si="0">C2-B2</f>
        <v>2.0999999999999908E-3</v>
      </c>
      <c r="F2">
        <f>D2-B2</f>
        <v>-5.7999999999998053E-3</v>
      </c>
      <c r="G2">
        <f>F2/E2</f>
        <v>-2.7619047619046815</v>
      </c>
      <c r="H2" s="1">
        <v>125.75</v>
      </c>
      <c r="I2">
        <v>10.628</v>
      </c>
      <c r="J2">
        <f>H2/I2</f>
        <v>11.831953330824238</v>
      </c>
      <c r="K2">
        <v>0.69316502708460104</v>
      </c>
      <c r="L2">
        <f>K2*J2*G2</f>
        <v>-22.651751550448012</v>
      </c>
    </row>
    <row r="3" spans="1:14" x14ac:dyDescent="0.3">
      <c r="A3">
        <v>-9</v>
      </c>
      <c r="B3">
        <v>-3.6435</v>
      </c>
      <c r="C3">
        <v>-2.4260000000000002</v>
      </c>
      <c r="D3">
        <v>-3.6118999999999999</v>
      </c>
      <c r="E3">
        <f t="shared" si="0"/>
        <v>1.2174999999999998</v>
      </c>
      <c r="F3">
        <f t="shared" ref="F3:F61" si="1">D3-B3</f>
        <v>3.1600000000000072E-2</v>
      </c>
      <c r="G3">
        <f t="shared" ref="G3:G61" si="2">F3/E3</f>
        <v>2.5954825462012384E-2</v>
      </c>
      <c r="J3">
        <f>J2</f>
        <v>11.831953330824238</v>
      </c>
      <c r="K3">
        <v>0.69572371878386996</v>
      </c>
      <c r="L3">
        <f t="shared" ref="L3:L61" si="3">K3*J3*G3</f>
        <v>0.21365416843435306</v>
      </c>
    </row>
    <row r="4" spans="1:14" x14ac:dyDescent="0.3">
      <c r="A4">
        <v>-8</v>
      </c>
      <c r="B4">
        <v>-3.6223999999999998</v>
      </c>
      <c r="C4">
        <v>2.2664</v>
      </c>
      <c r="D4">
        <v>-3.3944999999999999</v>
      </c>
      <c r="E4">
        <f t="shared" si="0"/>
        <v>5.8887999999999998</v>
      </c>
      <c r="F4">
        <f t="shared" si="1"/>
        <v>0.22789999999999999</v>
      </c>
      <c r="G4">
        <f t="shared" si="2"/>
        <v>3.8700584159760902E-2</v>
      </c>
      <c r="J4">
        <f t="shared" ref="J4:J61" si="4">J3</f>
        <v>11.831953330824238</v>
      </c>
      <c r="K4">
        <v>0.69824666773875099</v>
      </c>
      <c r="L4">
        <f t="shared" si="3"/>
        <v>0.31972959696874664</v>
      </c>
    </row>
    <row r="5" spans="1:14" x14ac:dyDescent="0.3">
      <c r="A5">
        <v>-7</v>
      </c>
      <c r="B5">
        <v>-3.5912000000000002</v>
      </c>
      <c r="C5">
        <v>7.6299000000000001</v>
      </c>
      <c r="D5">
        <v>-3.2385999999999999</v>
      </c>
      <c r="E5">
        <f t="shared" si="0"/>
        <v>11.2211</v>
      </c>
      <c r="F5">
        <f t="shared" si="1"/>
        <v>0.35260000000000025</v>
      </c>
      <c r="G5">
        <f t="shared" si="2"/>
        <v>3.1422944274625504E-2</v>
      </c>
      <c r="J5">
        <f t="shared" si="4"/>
        <v>11.831953330824238</v>
      </c>
      <c r="K5">
        <v>0.70074292204455002</v>
      </c>
      <c r="L5">
        <f t="shared" si="3"/>
        <v>0.26053258168264964</v>
      </c>
    </row>
    <row r="6" spans="1:14" x14ac:dyDescent="0.3">
      <c r="A6">
        <v>-6</v>
      </c>
      <c r="B6">
        <v>-3.5777000000000001</v>
      </c>
      <c r="C6">
        <v>12.0838</v>
      </c>
      <c r="D6">
        <v>-3.1751</v>
      </c>
      <c r="E6">
        <f t="shared" si="0"/>
        <v>15.6615</v>
      </c>
      <c r="F6">
        <f t="shared" si="1"/>
        <v>0.40260000000000007</v>
      </c>
      <c r="G6">
        <f t="shared" si="2"/>
        <v>2.570634996647831E-2</v>
      </c>
      <c r="J6">
        <f t="shared" si="4"/>
        <v>11.831953330824238</v>
      </c>
      <c r="K6">
        <v>0.70322152979657304</v>
      </c>
      <c r="L6">
        <f t="shared" si="3"/>
        <v>0.21388928186637229</v>
      </c>
    </row>
    <row r="7" spans="1:14" x14ac:dyDescent="0.3">
      <c r="A7">
        <v>-5</v>
      </c>
      <c r="B7">
        <v>-3.5737999999999999</v>
      </c>
      <c r="C7">
        <v>15.577400000000001</v>
      </c>
      <c r="D7">
        <v>-3.1518000000000002</v>
      </c>
      <c r="E7">
        <f t="shared" si="0"/>
        <v>19.151199999999999</v>
      </c>
      <c r="F7">
        <f t="shared" si="1"/>
        <v>0.42199999999999971</v>
      </c>
      <c r="G7">
        <f t="shared" si="2"/>
        <v>2.2035172730690489E-2</v>
      </c>
      <c r="J7">
        <f t="shared" si="4"/>
        <v>11.831953330824238</v>
      </c>
      <c r="K7">
        <v>0.70569153909012605</v>
      </c>
      <c r="L7">
        <f t="shared" si="3"/>
        <v>0.18398728792092084</v>
      </c>
    </row>
    <row r="8" spans="1:14" x14ac:dyDescent="0.3">
      <c r="A8">
        <v>-4</v>
      </c>
      <c r="B8">
        <v>-3.5750999999999999</v>
      </c>
      <c r="C8">
        <v>18.256799999999998</v>
      </c>
      <c r="D8">
        <v>-3.1457999999999999</v>
      </c>
      <c r="E8">
        <f t="shared" si="0"/>
        <v>21.831899999999997</v>
      </c>
      <c r="F8">
        <f t="shared" si="1"/>
        <v>0.42930000000000001</v>
      </c>
      <c r="G8">
        <f t="shared" si="2"/>
        <v>1.966388633146909E-2</v>
      </c>
      <c r="J8">
        <f t="shared" si="4"/>
        <v>11.831953330824238</v>
      </c>
      <c r="K8">
        <v>0.70816199802051705</v>
      </c>
      <c r="L8">
        <f t="shared" si="3"/>
        <v>0.16476251806009523</v>
      </c>
    </row>
    <row r="9" spans="1:14" x14ac:dyDescent="0.3">
      <c r="A9">
        <v>-3</v>
      </c>
      <c r="B9">
        <v>-3.5781999999999998</v>
      </c>
      <c r="C9">
        <v>20.290099999999999</v>
      </c>
      <c r="D9">
        <v>-3.1457000000000002</v>
      </c>
      <c r="E9">
        <f t="shared" si="0"/>
        <v>23.868299999999998</v>
      </c>
      <c r="F9">
        <f t="shared" si="1"/>
        <v>0.43249999999999966</v>
      </c>
      <c r="G9">
        <f t="shared" si="2"/>
        <v>1.8120268305660634E-2</v>
      </c>
      <c r="J9">
        <f t="shared" si="4"/>
        <v>11.831953330824238</v>
      </c>
      <c r="K9">
        <v>0.71064168812174</v>
      </c>
      <c r="L9">
        <f t="shared" si="3"/>
        <v>0.1523602767018872</v>
      </c>
    </row>
    <row r="10" spans="1:14" x14ac:dyDescent="0.3">
      <c r="A10">
        <v>-2</v>
      </c>
      <c r="B10">
        <v>-3.5811000000000002</v>
      </c>
      <c r="C10">
        <v>21.8462</v>
      </c>
      <c r="D10">
        <v>-3.1473</v>
      </c>
      <c r="E10">
        <f t="shared" si="0"/>
        <v>25.427299999999999</v>
      </c>
      <c r="F10">
        <f t="shared" si="1"/>
        <v>0.43380000000000019</v>
      </c>
      <c r="G10">
        <f t="shared" si="2"/>
        <v>1.7060403581976861E-2</v>
      </c>
      <c r="J10">
        <f t="shared" si="4"/>
        <v>11.831953330824238</v>
      </c>
      <c r="K10">
        <v>0.71312062471145898</v>
      </c>
      <c r="L10">
        <f t="shared" si="3"/>
        <v>0.14394903102853551</v>
      </c>
    </row>
    <row r="11" spans="1:14" x14ac:dyDescent="0.3">
      <c r="A11">
        <v>-1</v>
      </c>
      <c r="B11">
        <v>-3.5844999999999998</v>
      </c>
      <c r="C11">
        <v>23.031099999999999</v>
      </c>
      <c r="D11">
        <v>-3.149</v>
      </c>
      <c r="E11">
        <f t="shared" si="0"/>
        <v>26.615599999999997</v>
      </c>
      <c r="F11">
        <f t="shared" si="1"/>
        <v>0.43549999999999978</v>
      </c>
      <c r="G11">
        <f t="shared" si="2"/>
        <v>1.6362584349028382E-2</v>
      </c>
      <c r="J11">
        <f t="shared" si="4"/>
        <v>11.831953330824238</v>
      </c>
      <c r="K11">
        <v>0.71558267734750403</v>
      </c>
      <c r="L11">
        <f t="shared" si="3"/>
        <v>0.13853776120040115</v>
      </c>
    </row>
    <row r="12" spans="1:14" x14ac:dyDescent="0.3">
      <c r="A12">
        <v>0</v>
      </c>
      <c r="B12">
        <v>-3.5878999999999999</v>
      </c>
      <c r="C12">
        <v>23.937799999999999</v>
      </c>
      <c r="D12">
        <v>-3.1513</v>
      </c>
      <c r="E12">
        <f t="shared" si="0"/>
        <v>27.525700000000001</v>
      </c>
      <c r="F12">
        <f t="shared" si="1"/>
        <v>0.43659999999999988</v>
      </c>
      <c r="G12">
        <f t="shared" si="2"/>
        <v>1.5861540305968598E-2</v>
      </c>
      <c r="J12">
        <f t="shared" si="4"/>
        <v>11.831953330824238</v>
      </c>
      <c r="K12">
        <v>0.71801800000000005</v>
      </c>
      <c r="L12">
        <f t="shared" si="3"/>
        <v>0.13475259545652318</v>
      </c>
      <c r="M12">
        <v>0.1273</v>
      </c>
      <c r="N12">
        <f t="shared" ref="N12:N61" si="5">(M12-L12)/M12*100%</f>
        <v>-5.8543562109373032E-2</v>
      </c>
    </row>
    <row r="13" spans="1:14" x14ac:dyDescent="0.3">
      <c r="A13">
        <v>1</v>
      </c>
      <c r="B13">
        <v>-3.5914000000000001</v>
      </c>
      <c r="C13">
        <v>24.641200000000001</v>
      </c>
      <c r="D13">
        <v>-3.1543999999999999</v>
      </c>
      <c r="E13">
        <f t="shared" si="0"/>
        <v>28.232600000000001</v>
      </c>
      <c r="F13">
        <f t="shared" si="1"/>
        <v>0.43700000000000028</v>
      </c>
      <c r="G13">
        <f t="shared" si="2"/>
        <v>1.5478560245956811E-2</v>
      </c>
      <c r="J13">
        <f t="shared" si="4"/>
        <v>11.831953330824238</v>
      </c>
      <c r="K13">
        <v>0.72043029015142701</v>
      </c>
      <c r="L13">
        <f t="shared" si="3"/>
        <v>0.13194075779798331</v>
      </c>
      <c r="M13">
        <v>0.12733</v>
      </c>
      <c r="N13">
        <f t="shared" si="5"/>
        <v>-3.6211087708971267E-2</v>
      </c>
    </row>
    <row r="14" spans="1:14" x14ac:dyDescent="0.3">
      <c r="A14">
        <v>2</v>
      </c>
      <c r="B14">
        <v>-3.5945999999999998</v>
      </c>
      <c r="C14">
        <v>25.184899999999999</v>
      </c>
      <c r="D14">
        <v>-3.1568999999999998</v>
      </c>
      <c r="E14">
        <f t="shared" si="0"/>
        <v>28.779499999999999</v>
      </c>
      <c r="F14">
        <f t="shared" si="1"/>
        <v>0.43769999999999998</v>
      </c>
      <c r="G14">
        <f t="shared" si="2"/>
        <v>1.5208742333952988E-2</v>
      </c>
      <c r="J14">
        <f t="shared" si="4"/>
        <v>11.831953330824238</v>
      </c>
      <c r="K14">
        <v>0.72282997973082797</v>
      </c>
      <c r="L14">
        <f t="shared" si="3"/>
        <v>0.13007262564053113</v>
      </c>
      <c r="M14">
        <v>0.12736</v>
      </c>
      <c r="N14">
        <f t="shared" si="5"/>
        <v>-2.1298882227788352E-2</v>
      </c>
    </row>
    <row r="15" spans="1:14" x14ac:dyDescent="0.3">
      <c r="A15">
        <v>3</v>
      </c>
      <c r="B15">
        <v>-3.5977999999999999</v>
      </c>
      <c r="C15">
        <v>25.6158</v>
      </c>
      <c r="D15">
        <v>-3.16</v>
      </c>
      <c r="E15">
        <f t="shared" si="0"/>
        <v>29.2136</v>
      </c>
      <c r="F15">
        <f t="shared" si="1"/>
        <v>0.43779999999999974</v>
      </c>
      <c r="G15">
        <f t="shared" si="2"/>
        <v>1.4986170824547463E-2</v>
      </c>
      <c r="J15">
        <f t="shared" si="4"/>
        <v>11.831953330824238</v>
      </c>
      <c r="K15">
        <v>0.72521732437817399</v>
      </c>
      <c r="L15">
        <f t="shared" si="3"/>
        <v>0.12859239852630883</v>
      </c>
      <c r="M15">
        <v>0.12737999999999999</v>
      </c>
      <c r="N15">
        <f t="shared" si="5"/>
        <v>-9.5179661352554033E-3</v>
      </c>
    </row>
    <row r="16" spans="1:14" x14ac:dyDescent="0.3">
      <c r="A16">
        <v>4</v>
      </c>
      <c r="B16">
        <v>-3.6004999999999998</v>
      </c>
      <c r="C16">
        <v>25.959800000000001</v>
      </c>
      <c r="D16">
        <v>-3.1633</v>
      </c>
      <c r="E16">
        <f t="shared" si="0"/>
        <v>29.560300000000002</v>
      </c>
      <c r="F16">
        <f t="shared" si="1"/>
        <v>0.43719999999999981</v>
      </c>
      <c r="G16">
        <f t="shared" si="2"/>
        <v>1.4790107001620409E-2</v>
      </c>
      <c r="J16">
        <f t="shared" si="4"/>
        <v>11.831953330824238</v>
      </c>
      <c r="K16">
        <v>0.72759257973343805</v>
      </c>
      <c r="L16">
        <f t="shared" si="3"/>
        <v>0.12732568616496087</v>
      </c>
      <c r="M16">
        <v>0.12741</v>
      </c>
      <c r="N16">
        <f t="shared" si="5"/>
        <v>6.6175209982830008E-4</v>
      </c>
    </row>
    <row r="17" spans="1:14" x14ac:dyDescent="0.3">
      <c r="A17">
        <v>5</v>
      </c>
      <c r="B17">
        <v>-3.6038000000000001</v>
      </c>
      <c r="C17">
        <v>26.248799999999999</v>
      </c>
      <c r="D17">
        <v>-3.1656</v>
      </c>
      <c r="E17">
        <f t="shared" si="0"/>
        <v>29.852599999999999</v>
      </c>
      <c r="F17">
        <f t="shared" si="1"/>
        <v>0.43820000000000014</v>
      </c>
      <c r="G17">
        <f t="shared" si="2"/>
        <v>1.4678788447237433E-2</v>
      </c>
      <c r="J17">
        <f t="shared" si="4"/>
        <v>11.831953330824238</v>
      </c>
      <c r="K17">
        <v>0.72995600143659101</v>
      </c>
      <c r="L17">
        <f t="shared" si="3"/>
        <v>0.12677783848330279</v>
      </c>
      <c r="M17">
        <v>0.12744</v>
      </c>
      <c r="N17">
        <f t="shared" si="5"/>
        <v>5.1958687750879411E-3</v>
      </c>
    </row>
    <row r="18" spans="1:14" x14ac:dyDescent="0.3">
      <c r="A18">
        <v>6</v>
      </c>
      <c r="B18">
        <v>-3.6057999999999999</v>
      </c>
      <c r="C18">
        <v>26.484100000000002</v>
      </c>
      <c r="D18">
        <v>-3.1669</v>
      </c>
      <c r="E18">
        <f t="shared" si="0"/>
        <v>30.0899</v>
      </c>
      <c r="F18">
        <f t="shared" si="1"/>
        <v>0.43889999999999985</v>
      </c>
      <c r="G18">
        <f t="shared" si="2"/>
        <v>1.4586289751710701E-2</v>
      </c>
      <c r="J18">
        <f t="shared" si="4"/>
        <v>11.831953330824238</v>
      </c>
      <c r="K18">
        <v>0.73230784512760305</v>
      </c>
      <c r="L18">
        <f t="shared" si="3"/>
        <v>0.12638483655180888</v>
      </c>
      <c r="M18">
        <v>0.12745999999999999</v>
      </c>
      <c r="N18">
        <f t="shared" si="5"/>
        <v>8.4353008645152456E-3</v>
      </c>
    </row>
    <row r="19" spans="1:14" x14ac:dyDescent="0.3">
      <c r="A19">
        <v>7</v>
      </c>
      <c r="B19">
        <v>-3.6078999999999999</v>
      </c>
      <c r="C19">
        <v>26.6859</v>
      </c>
      <c r="D19">
        <v>-3.1684999999999999</v>
      </c>
      <c r="E19">
        <f t="shared" si="0"/>
        <v>30.293800000000001</v>
      </c>
      <c r="F19">
        <f t="shared" si="1"/>
        <v>0.43940000000000001</v>
      </c>
      <c r="G19">
        <f t="shared" si="2"/>
        <v>1.4504618106675294E-2</v>
      </c>
      <c r="J19">
        <f t="shared" si="4"/>
        <v>11.831953330824238</v>
      </c>
      <c r="K19">
        <v>0.73464840716166002</v>
      </c>
      <c r="L19">
        <f t="shared" si="3"/>
        <v>0.126078864274658</v>
      </c>
      <c r="M19">
        <v>0.12748999999999999</v>
      </c>
      <c r="N19">
        <f t="shared" si="5"/>
        <v>1.1068599304588507E-2</v>
      </c>
    </row>
    <row r="20" spans="1:14" x14ac:dyDescent="0.3">
      <c r="A20">
        <v>8</v>
      </c>
      <c r="B20">
        <v>-3.6109</v>
      </c>
      <c r="C20">
        <v>26.8612</v>
      </c>
      <c r="D20">
        <v>-3.1692999999999998</v>
      </c>
      <c r="E20">
        <f t="shared" si="0"/>
        <v>30.472100000000001</v>
      </c>
      <c r="F20">
        <f t="shared" si="1"/>
        <v>0.44160000000000021</v>
      </c>
      <c r="G20">
        <f t="shared" si="2"/>
        <v>1.4491945090755156E-2</v>
      </c>
      <c r="J20">
        <f t="shared" si="4"/>
        <v>11.831953330824238</v>
      </c>
      <c r="K20">
        <v>0.73697996929665399</v>
      </c>
      <c r="L20">
        <f t="shared" si="3"/>
        <v>0.12636849463118333</v>
      </c>
      <c r="M20">
        <v>0.12751000000000001</v>
      </c>
      <c r="N20">
        <f t="shared" si="5"/>
        <v>8.9522811451390981E-3</v>
      </c>
    </row>
    <row r="21" spans="1:14" x14ac:dyDescent="0.3">
      <c r="A21">
        <v>9</v>
      </c>
      <c r="B21">
        <v>-3.6122000000000001</v>
      </c>
      <c r="C21">
        <v>27.016999999999999</v>
      </c>
      <c r="D21">
        <v>-3.1698</v>
      </c>
      <c r="E21">
        <f t="shared" si="0"/>
        <v>30.629200000000001</v>
      </c>
      <c r="F21">
        <f t="shared" si="1"/>
        <v>0.44240000000000013</v>
      </c>
      <c r="G21">
        <f t="shared" si="2"/>
        <v>1.4443733430843774E-2</v>
      </c>
      <c r="J21">
        <f t="shared" si="4"/>
        <v>11.831953330824238</v>
      </c>
      <c r="K21">
        <v>0.73930311735330501</v>
      </c>
      <c r="L21">
        <f t="shared" si="3"/>
        <v>0.12634511355091277</v>
      </c>
      <c r="M21">
        <v>0.12753999999999999</v>
      </c>
      <c r="N21">
        <f t="shared" si="5"/>
        <v>9.3687192181842408E-3</v>
      </c>
    </row>
    <row r="22" spans="1:14" x14ac:dyDescent="0.3">
      <c r="A22">
        <v>10</v>
      </c>
      <c r="B22">
        <v>-3.613</v>
      </c>
      <c r="C22">
        <v>27.158899999999999</v>
      </c>
      <c r="D22">
        <v>-3.1694</v>
      </c>
      <c r="E22">
        <f t="shared" si="0"/>
        <v>30.771899999999999</v>
      </c>
      <c r="F22">
        <f t="shared" si="1"/>
        <v>0.44359999999999999</v>
      </c>
      <c r="G22">
        <f t="shared" si="2"/>
        <v>1.4415749433736623E-2</v>
      </c>
      <c r="J22">
        <f t="shared" si="4"/>
        <v>11.831953330824238</v>
      </c>
      <c r="K22">
        <v>0.74161699595694197</v>
      </c>
      <c r="L22">
        <f t="shared" si="3"/>
        <v>0.12649499645103543</v>
      </c>
      <c r="M22">
        <v>0.12756999999999999</v>
      </c>
      <c r="N22">
        <f t="shared" si="5"/>
        <v>8.4267739199228604E-3</v>
      </c>
    </row>
    <row r="23" spans="1:14" x14ac:dyDescent="0.3">
      <c r="A23">
        <v>11</v>
      </c>
      <c r="B23">
        <v>-3.6137000000000001</v>
      </c>
      <c r="C23">
        <v>27.291799999999999</v>
      </c>
      <c r="D23">
        <v>-3.1684999999999999</v>
      </c>
      <c r="E23">
        <f t="shared" si="0"/>
        <v>30.9055</v>
      </c>
      <c r="F23">
        <f t="shared" si="1"/>
        <v>0.44520000000000026</v>
      </c>
      <c r="G23">
        <f t="shared" si="2"/>
        <v>1.4405202957402413E-2</v>
      </c>
      <c r="J23">
        <f t="shared" si="4"/>
        <v>11.831953330824238</v>
      </c>
      <c r="K23">
        <v>0.74392074973289501</v>
      </c>
      <c r="L23">
        <f t="shared" si="3"/>
        <v>0.12679510915071124</v>
      </c>
      <c r="M23">
        <v>0.12759000000000001</v>
      </c>
      <c r="N23">
        <f t="shared" si="5"/>
        <v>6.2300403580905295E-3</v>
      </c>
    </row>
    <row r="24" spans="1:14" x14ac:dyDescent="0.3">
      <c r="A24">
        <v>12</v>
      </c>
      <c r="B24">
        <v>-3.6160000000000001</v>
      </c>
      <c r="C24">
        <v>27.4163</v>
      </c>
      <c r="D24">
        <v>-3.17</v>
      </c>
      <c r="E24">
        <f t="shared" si="0"/>
        <v>31.032299999999999</v>
      </c>
      <c r="F24">
        <f t="shared" si="1"/>
        <v>0.44600000000000017</v>
      </c>
      <c r="G24">
        <f t="shared" si="2"/>
        <v>1.437212195035496E-2</v>
      </c>
      <c r="J24">
        <f t="shared" si="4"/>
        <v>11.831953330824238</v>
      </c>
      <c r="K24">
        <v>0.74621352330649604</v>
      </c>
      <c r="L24">
        <f t="shared" si="3"/>
        <v>0.12689381572865066</v>
      </c>
      <c r="M24">
        <v>0.12762000000000001</v>
      </c>
      <c r="N24">
        <f t="shared" si="5"/>
        <v>5.6902074232044386E-3</v>
      </c>
    </row>
    <row r="25" spans="1:14" x14ac:dyDescent="0.3">
      <c r="A25">
        <v>13</v>
      </c>
      <c r="B25">
        <v>-3.6154999999999999</v>
      </c>
      <c r="C25">
        <v>27.535900000000002</v>
      </c>
      <c r="D25">
        <v>-3.1703000000000001</v>
      </c>
      <c r="E25">
        <f t="shared" si="0"/>
        <v>31.151400000000002</v>
      </c>
      <c r="F25">
        <f t="shared" si="1"/>
        <v>0.44519999999999982</v>
      </c>
      <c r="G25">
        <f t="shared" si="2"/>
        <v>1.4291492517190231E-2</v>
      </c>
      <c r="J25">
        <f t="shared" si="4"/>
        <v>11.831953330824238</v>
      </c>
      <c r="K25">
        <v>0.74849446130307495</v>
      </c>
      <c r="L25">
        <f t="shared" si="3"/>
        <v>0.12656762338667266</v>
      </c>
      <c r="M25">
        <v>0.12765000000000001</v>
      </c>
      <c r="N25">
        <f t="shared" si="5"/>
        <v>8.4792527483537571E-3</v>
      </c>
    </row>
    <row r="26" spans="1:14" x14ac:dyDescent="0.3">
      <c r="A26">
        <v>14</v>
      </c>
      <c r="B26">
        <v>-3.6153</v>
      </c>
      <c r="C26">
        <v>27.6523</v>
      </c>
      <c r="D26">
        <v>-3.1690999999999998</v>
      </c>
      <c r="E26">
        <f t="shared" si="0"/>
        <v>31.267600000000002</v>
      </c>
      <c r="F26">
        <f t="shared" si="1"/>
        <v>0.44620000000000015</v>
      </c>
      <c r="G26">
        <f t="shared" si="2"/>
        <v>1.4270362931596928E-2</v>
      </c>
      <c r="J26">
        <f t="shared" si="4"/>
        <v>11.831953330824238</v>
      </c>
      <c r="K26">
        <v>0.75076270834796199</v>
      </c>
      <c r="L26">
        <f t="shared" si="3"/>
        <v>0.12676348162372833</v>
      </c>
      <c r="M26">
        <v>0.12767000000000001</v>
      </c>
      <c r="N26">
        <f t="shared" si="5"/>
        <v>7.1004807415342326E-3</v>
      </c>
    </row>
    <row r="27" spans="1:14" x14ac:dyDescent="0.3">
      <c r="A27">
        <v>15</v>
      </c>
      <c r="B27">
        <v>-3.6141000000000001</v>
      </c>
      <c r="C27">
        <v>27.7651</v>
      </c>
      <c r="D27">
        <v>-3.1661000000000001</v>
      </c>
      <c r="E27">
        <f t="shared" si="0"/>
        <v>31.379200000000001</v>
      </c>
      <c r="F27">
        <f t="shared" si="1"/>
        <v>0.44799999999999995</v>
      </c>
      <c r="G27">
        <f t="shared" si="2"/>
        <v>1.4276973281664286E-2</v>
      </c>
      <c r="J27">
        <f t="shared" si="4"/>
        <v>11.831953330824238</v>
      </c>
      <c r="K27">
        <v>0.75301740906648695</v>
      </c>
      <c r="L27">
        <f t="shared" si="3"/>
        <v>0.12720307544281051</v>
      </c>
      <c r="M27">
        <v>0.12770000000000001</v>
      </c>
      <c r="N27">
        <f t="shared" si="5"/>
        <v>3.8913434392286502E-3</v>
      </c>
    </row>
    <row r="28" spans="1:14" x14ac:dyDescent="0.3">
      <c r="A28">
        <v>16</v>
      </c>
      <c r="B28">
        <v>-3.6131000000000002</v>
      </c>
      <c r="C28">
        <v>27.877300000000002</v>
      </c>
      <c r="D28">
        <v>-3.1631</v>
      </c>
      <c r="E28">
        <f t="shared" si="0"/>
        <v>31.490400000000001</v>
      </c>
      <c r="F28">
        <f t="shared" si="1"/>
        <v>0.45000000000000018</v>
      </c>
      <c r="G28">
        <f t="shared" si="2"/>
        <v>1.4290069354469939E-2</v>
      </c>
      <c r="J28">
        <f t="shared" si="4"/>
        <v>11.831953330824238</v>
      </c>
      <c r="K28">
        <v>0.75525770808398196</v>
      </c>
      <c r="L28">
        <f t="shared" si="3"/>
        <v>0.12769854557762775</v>
      </c>
      <c r="M28">
        <v>0.12772</v>
      </c>
      <c r="N28">
        <f t="shared" si="5"/>
        <v>1.6798013132048519E-4</v>
      </c>
    </row>
    <row r="29" spans="1:14" x14ac:dyDescent="0.3">
      <c r="A29">
        <v>17</v>
      </c>
      <c r="B29">
        <v>-3.6112000000000002</v>
      </c>
      <c r="C29">
        <v>27.9802</v>
      </c>
      <c r="D29">
        <v>-3.1612</v>
      </c>
      <c r="E29">
        <f t="shared" si="0"/>
        <v>31.5914</v>
      </c>
      <c r="F29">
        <f t="shared" si="1"/>
        <v>0.45000000000000018</v>
      </c>
      <c r="G29">
        <f t="shared" si="2"/>
        <v>1.4244382964984146E-2</v>
      </c>
      <c r="J29">
        <f t="shared" si="4"/>
        <v>11.831953330824238</v>
      </c>
      <c r="K29">
        <v>0.75748280347152996</v>
      </c>
      <c r="L29">
        <f t="shared" si="3"/>
        <v>0.12766529912601765</v>
      </c>
      <c r="M29">
        <v>0.12775</v>
      </c>
      <c r="N29">
        <f t="shared" si="5"/>
        <v>6.6302053997927056E-4</v>
      </c>
    </row>
    <row r="30" spans="1:14" x14ac:dyDescent="0.3">
      <c r="A30">
        <v>18</v>
      </c>
      <c r="B30">
        <v>-3.6082999999999998</v>
      </c>
      <c r="C30">
        <v>28.084700000000002</v>
      </c>
      <c r="D30">
        <v>-3.1577000000000002</v>
      </c>
      <c r="E30">
        <f t="shared" si="0"/>
        <v>31.693000000000001</v>
      </c>
      <c r="F30">
        <f t="shared" si="1"/>
        <v>0.45059999999999967</v>
      </c>
      <c r="G30">
        <f t="shared" si="2"/>
        <v>1.4217650585302737E-2</v>
      </c>
      <c r="J30">
        <f t="shared" si="4"/>
        <v>11.831953330824238</v>
      </c>
      <c r="K30">
        <v>0.75969510226494397</v>
      </c>
      <c r="L30">
        <f t="shared" si="3"/>
        <v>0.12779786874836535</v>
      </c>
      <c r="M30">
        <v>0.12778</v>
      </c>
      <c r="N30">
        <f t="shared" si="5"/>
        <v>-1.3983994651233474E-4</v>
      </c>
    </row>
    <row r="31" spans="1:14" x14ac:dyDescent="0.3">
      <c r="A31">
        <v>19</v>
      </c>
      <c r="B31">
        <v>-3.6048</v>
      </c>
      <c r="C31">
        <v>28.192</v>
      </c>
      <c r="D31">
        <v>-3.1539999999999999</v>
      </c>
      <c r="E31">
        <f t="shared" si="0"/>
        <v>31.796800000000001</v>
      </c>
      <c r="F31">
        <f t="shared" si="1"/>
        <v>0.45080000000000009</v>
      </c>
      <c r="G31">
        <f t="shared" si="2"/>
        <v>1.417752729834449E-2</v>
      </c>
      <c r="J31">
        <f t="shared" si="4"/>
        <v>11.831953330824238</v>
      </c>
      <c r="K31">
        <v>0.76189658793349402</v>
      </c>
      <c r="L31">
        <f t="shared" si="3"/>
        <v>0.12780650795053503</v>
      </c>
      <c r="M31">
        <v>0.1278</v>
      </c>
      <c r="N31">
        <f t="shared" si="5"/>
        <v>-5.0922930634025867E-5</v>
      </c>
    </row>
    <row r="32" spans="1:14" x14ac:dyDescent="0.3">
      <c r="A32">
        <v>20</v>
      </c>
      <c r="B32">
        <v>-3.6027</v>
      </c>
      <c r="C32">
        <v>28.2942</v>
      </c>
      <c r="D32">
        <v>-3.1509</v>
      </c>
      <c r="E32">
        <f t="shared" si="0"/>
        <v>31.896899999999999</v>
      </c>
      <c r="F32">
        <f t="shared" si="1"/>
        <v>0.45179999999999998</v>
      </c>
      <c r="G32">
        <f t="shared" si="2"/>
        <v>1.4164385880759573E-2</v>
      </c>
      <c r="J32">
        <f t="shared" si="4"/>
        <v>11.831953330824238</v>
      </c>
      <c r="K32">
        <v>0.76408768143570505</v>
      </c>
      <c r="L32">
        <f t="shared" si="3"/>
        <v>0.12805525220161085</v>
      </c>
      <c r="M32">
        <v>0.12783</v>
      </c>
      <c r="N32">
        <f t="shared" si="5"/>
        <v>-1.7621231448865543E-3</v>
      </c>
    </row>
    <row r="33" spans="1:14" x14ac:dyDescent="0.3">
      <c r="A33">
        <v>21</v>
      </c>
      <c r="B33">
        <v>-3.5998999999999999</v>
      </c>
      <c r="C33">
        <v>28.398800000000001</v>
      </c>
      <c r="D33">
        <v>-3.1467000000000001</v>
      </c>
      <c r="E33">
        <f t="shared" si="0"/>
        <v>31.998699999999999</v>
      </c>
      <c r="F33">
        <f t="shared" si="1"/>
        <v>0.45319999999999983</v>
      </c>
      <c r="G33">
        <f t="shared" si="2"/>
        <v>1.4163075374937101E-2</v>
      </c>
      <c r="J33">
        <f t="shared" si="4"/>
        <v>11.831953330824238</v>
      </c>
      <c r="K33">
        <v>0.76626880373009998</v>
      </c>
      <c r="L33">
        <f t="shared" si="3"/>
        <v>0.12840890997413018</v>
      </c>
      <c r="M33">
        <v>0.12786</v>
      </c>
      <c r="N33">
        <f t="shared" si="5"/>
        <v>-4.2930547014717619E-3</v>
      </c>
    </row>
    <row r="34" spans="1:14" x14ac:dyDescent="0.3">
      <c r="A34">
        <v>22</v>
      </c>
      <c r="B34">
        <v>-3.5971000000000002</v>
      </c>
      <c r="C34">
        <v>28.493500000000001</v>
      </c>
      <c r="D34">
        <v>-3.1436999999999999</v>
      </c>
      <c r="E34">
        <f t="shared" ref="E34:E61" si="6">C34-B34</f>
        <v>32.090600000000002</v>
      </c>
      <c r="F34">
        <f t="shared" si="1"/>
        <v>0.45340000000000025</v>
      </c>
      <c r="G34">
        <f t="shared" si="2"/>
        <v>1.4128747982275191E-2</v>
      </c>
      <c r="J34">
        <f t="shared" si="4"/>
        <v>11.831953330824238</v>
      </c>
      <c r="K34">
        <v>0.76844037577520297</v>
      </c>
      <c r="L34">
        <f t="shared" si="3"/>
        <v>0.1284607053441979</v>
      </c>
      <c r="M34">
        <v>0.12787999999999999</v>
      </c>
      <c r="N34">
        <f t="shared" si="5"/>
        <v>-4.5410177056451921E-3</v>
      </c>
    </row>
    <row r="35" spans="1:14" x14ac:dyDescent="0.3">
      <c r="A35">
        <v>23</v>
      </c>
      <c r="B35">
        <v>-3.5922000000000001</v>
      </c>
      <c r="C35">
        <v>28.584499999999998</v>
      </c>
      <c r="D35">
        <v>-3.1402000000000001</v>
      </c>
      <c r="E35">
        <f t="shared" si="6"/>
        <v>32.176699999999997</v>
      </c>
      <c r="F35">
        <f t="shared" si="1"/>
        <v>0.45199999999999996</v>
      </c>
      <c r="G35">
        <f t="shared" si="2"/>
        <v>1.4047431837323281E-2</v>
      </c>
      <c r="J35">
        <f t="shared" si="4"/>
        <v>11.831953330824238</v>
      </c>
      <c r="K35">
        <v>0.77060281852953905</v>
      </c>
      <c r="L35">
        <f t="shared" si="3"/>
        <v>0.12808078319468102</v>
      </c>
      <c r="M35">
        <v>0.12791</v>
      </c>
      <c r="N35">
        <f t="shared" si="5"/>
        <v>-1.3351825086469313E-3</v>
      </c>
    </row>
    <row r="36" spans="1:14" x14ac:dyDescent="0.3">
      <c r="A36">
        <v>24</v>
      </c>
      <c r="B36">
        <v>-3.5872999999999999</v>
      </c>
      <c r="C36">
        <v>28.678699999999999</v>
      </c>
      <c r="D36">
        <v>-3.137</v>
      </c>
      <c r="E36">
        <f t="shared" si="6"/>
        <v>32.265999999999998</v>
      </c>
      <c r="F36">
        <f t="shared" si="1"/>
        <v>0.45029999999999992</v>
      </c>
      <c r="G36">
        <f t="shared" si="2"/>
        <v>1.3955866856753237E-2</v>
      </c>
      <c r="J36">
        <f t="shared" si="4"/>
        <v>11.831953330824238</v>
      </c>
      <c r="K36">
        <v>0.77275655295162904</v>
      </c>
      <c r="L36">
        <f t="shared" si="3"/>
        <v>0.12760155357393885</v>
      </c>
      <c r="M36">
        <v>0.12794</v>
      </c>
      <c r="N36">
        <f t="shared" si="5"/>
        <v>2.6453527126868129E-3</v>
      </c>
    </row>
    <row r="37" spans="1:14" x14ac:dyDescent="0.3">
      <c r="A37">
        <v>25</v>
      </c>
      <c r="B37">
        <v>-3.5825</v>
      </c>
      <c r="C37">
        <v>28.767700000000001</v>
      </c>
      <c r="D37">
        <v>-3.1320999999999999</v>
      </c>
      <c r="E37">
        <f t="shared" si="6"/>
        <v>32.350200000000001</v>
      </c>
      <c r="F37">
        <f t="shared" si="1"/>
        <v>0.45040000000000013</v>
      </c>
      <c r="G37">
        <f t="shared" si="2"/>
        <v>1.3922634172277145E-2</v>
      </c>
      <c r="J37">
        <f t="shared" si="4"/>
        <v>11.831953330824238</v>
      </c>
      <c r="K37">
        <v>0.77490199999999998</v>
      </c>
      <c r="L37">
        <f t="shared" si="3"/>
        <v>0.12765112353874317</v>
      </c>
      <c r="M37">
        <v>0.12795999999999999</v>
      </c>
      <c r="N37">
        <f t="shared" si="5"/>
        <v>2.4138516822196313E-3</v>
      </c>
    </row>
    <row r="38" spans="1:14" x14ac:dyDescent="0.3">
      <c r="A38">
        <v>26</v>
      </c>
      <c r="B38">
        <v>-3.5773000000000001</v>
      </c>
      <c r="C38">
        <v>28.860700000000001</v>
      </c>
      <c r="D38">
        <v>-3.1248</v>
      </c>
      <c r="E38">
        <f t="shared" si="6"/>
        <v>32.438000000000002</v>
      </c>
      <c r="F38">
        <f t="shared" si="1"/>
        <v>0.45250000000000012</v>
      </c>
      <c r="G38">
        <f t="shared" si="2"/>
        <v>1.3949688636784021E-2</v>
      </c>
      <c r="J38">
        <f t="shared" si="4"/>
        <v>11.831953330824238</v>
      </c>
      <c r="K38">
        <v>0.77703192739998805</v>
      </c>
      <c r="L38">
        <f t="shared" si="3"/>
        <v>0.12825072413387301</v>
      </c>
      <c r="M38">
        <v>0.12798999999999999</v>
      </c>
      <c r="N38">
        <f t="shared" si="5"/>
        <v>-2.0370664416986778E-3</v>
      </c>
    </row>
    <row r="39" spans="1:14" x14ac:dyDescent="0.3">
      <c r="A39">
        <v>27</v>
      </c>
      <c r="B39">
        <v>-3.5710999999999999</v>
      </c>
      <c r="C39">
        <v>28.9556</v>
      </c>
      <c r="D39">
        <v>-3.12</v>
      </c>
      <c r="E39">
        <f t="shared" si="6"/>
        <v>32.526699999999998</v>
      </c>
      <c r="F39">
        <f t="shared" si="1"/>
        <v>0.45109999999999983</v>
      </c>
      <c r="G39">
        <f t="shared" si="2"/>
        <v>1.3868606406429175E-2</v>
      </c>
      <c r="J39">
        <f t="shared" si="4"/>
        <v>11.831953330824238</v>
      </c>
      <c r="K39">
        <v>0.77913999407242795</v>
      </c>
      <c r="L39">
        <f t="shared" si="3"/>
        <v>0.12785118823835448</v>
      </c>
      <c r="M39">
        <v>0.12801000000000001</v>
      </c>
      <c r="N39">
        <f t="shared" si="5"/>
        <v>1.2406199644210069E-3</v>
      </c>
    </row>
    <row r="40" spans="1:14" x14ac:dyDescent="0.3">
      <c r="A40">
        <v>28</v>
      </c>
      <c r="B40">
        <v>-3.5640999999999998</v>
      </c>
      <c r="C40">
        <v>29.055099999999999</v>
      </c>
      <c r="D40">
        <v>-3.1131000000000002</v>
      </c>
      <c r="E40">
        <f t="shared" si="6"/>
        <v>32.619199999999999</v>
      </c>
      <c r="F40">
        <f t="shared" si="1"/>
        <v>0.45099999999999962</v>
      </c>
      <c r="G40">
        <f t="shared" si="2"/>
        <v>1.3826212782655603E-2</v>
      </c>
      <c r="J40">
        <f t="shared" si="4"/>
        <v>11.831953330824238</v>
      </c>
      <c r="K40">
        <v>0.78123566860409199</v>
      </c>
      <c r="L40">
        <f t="shared" si="3"/>
        <v>0.1278032058130118</v>
      </c>
      <c r="M40">
        <v>0.12803999999999999</v>
      </c>
      <c r="N40">
        <f t="shared" si="5"/>
        <v>1.8493766556403261E-3</v>
      </c>
    </row>
    <row r="41" spans="1:14" x14ac:dyDescent="0.3">
      <c r="A41">
        <v>29</v>
      </c>
      <c r="B41">
        <v>-3.5539000000000001</v>
      </c>
      <c r="C41">
        <v>29.155799999999999</v>
      </c>
      <c r="D41">
        <v>-3.1053000000000002</v>
      </c>
      <c r="E41">
        <f t="shared" si="6"/>
        <v>32.709699999999998</v>
      </c>
      <c r="F41">
        <f t="shared" si="1"/>
        <v>0.44859999999999989</v>
      </c>
      <c r="G41">
        <f t="shared" si="2"/>
        <v>1.3714586193086452E-2</v>
      </c>
      <c r="J41">
        <f t="shared" si="4"/>
        <v>11.831953330824238</v>
      </c>
      <c r="K41">
        <v>0.78332370924358696</v>
      </c>
      <c r="L41">
        <f t="shared" si="3"/>
        <v>0.12711020759637773</v>
      </c>
      <c r="M41">
        <v>0.12806999999999999</v>
      </c>
      <c r="N41">
        <f t="shared" si="5"/>
        <v>7.4942797190775488E-3</v>
      </c>
    </row>
    <row r="42" spans="1:14" x14ac:dyDescent="0.3">
      <c r="A42">
        <v>30</v>
      </c>
      <c r="B42">
        <v>-3.5453000000000001</v>
      </c>
      <c r="C42">
        <v>29.257899999999999</v>
      </c>
      <c r="D42">
        <v>-3.0981000000000001</v>
      </c>
      <c r="E42">
        <f t="shared" si="6"/>
        <v>32.803199999999997</v>
      </c>
      <c r="F42">
        <f t="shared" si="1"/>
        <v>0.44720000000000004</v>
      </c>
      <c r="G42">
        <f t="shared" si="2"/>
        <v>1.3632816310603845E-2</v>
      </c>
      <c r="J42">
        <f t="shared" si="4"/>
        <v>11.831953330824238</v>
      </c>
      <c r="K42">
        <v>0.78540386473879598</v>
      </c>
      <c r="L42">
        <f t="shared" si="3"/>
        <v>0.12668787892039998</v>
      </c>
      <c r="M42">
        <v>0.12809000000000001</v>
      </c>
      <c r="N42">
        <f t="shared" si="5"/>
        <v>1.0946374264970155E-2</v>
      </c>
    </row>
    <row r="43" spans="1:14" x14ac:dyDescent="0.3">
      <c r="A43">
        <v>31</v>
      </c>
      <c r="B43">
        <v>-3.5394000000000001</v>
      </c>
      <c r="C43">
        <v>29.357900000000001</v>
      </c>
      <c r="D43">
        <v>-3.0909</v>
      </c>
      <c r="E43">
        <f t="shared" si="6"/>
        <v>32.897300000000001</v>
      </c>
      <c r="F43">
        <f t="shared" si="1"/>
        <v>0.44850000000000012</v>
      </c>
      <c r="G43">
        <f t="shared" si="2"/>
        <v>1.3633337690327173E-2</v>
      </c>
      <c r="J43">
        <f t="shared" si="4"/>
        <v>11.831953330824238</v>
      </c>
      <c r="K43">
        <v>0.78747588383760003</v>
      </c>
      <c r="L43">
        <f t="shared" si="3"/>
        <v>0.12702695939065364</v>
      </c>
      <c r="M43">
        <v>0.12812000000000001</v>
      </c>
      <c r="N43">
        <f t="shared" si="5"/>
        <v>8.5313815902776178E-3</v>
      </c>
    </row>
    <row r="44" spans="1:14" x14ac:dyDescent="0.3">
      <c r="A44">
        <v>32</v>
      </c>
      <c r="B44">
        <v>-3.5325000000000002</v>
      </c>
      <c r="C44">
        <v>29.4573</v>
      </c>
      <c r="D44">
        <v>-3.0825</v>
      </c>
      <c r="E44">
        <f t="shared" si="6"/>
        <v>32.989800000000002</v>
      </c>
      <c r="F44">
        <f t="shared" si="1"/>
        <v>0.45000000000000018</v>
      </c>
      <c r="G44">
        <f t="shared" si="2"/>
        <v>1.3640579815579366E-2</v>
      </c>
      <c r="J44">
        <f t="shared" si="4"/>
        <v>11.831953330824238</v>
      </c>
      <c r="K44">
        <v>0.78953951528788202</v>
      </c>
      <c r="L44">
        <f t="shared" si="3"/>
        <v>0.12742749619511232</v>
      </c>
      <c r="M44">
        <v>0.12814999999999999</v>
      </c>
      <c r="N44">
        <f t="shared" si="5"/>
        <v>5.6379539983431124E-3</v>
      </c>
    </row>
    <row r="45" spans="1:14" x14ac:dyDescent="0.3">
      <c r="A45">
        <v>33</v>
      </c>
      <c r="B45">
        <v>-3.5253000000000001</v>
      </c>
      <c r="C45">
        <v>29.558299999999999</v>
      </c>
      <c r="D45">
        <v>-3.0743</v>
      </c>
      <c r="E45">
        <f t="shared" si="6"/>
        <v>33.083599999999997</v>
      </c>
      <c r="F45">
        <f t="shared" si="1"/>
        <v>0.45100000000000007</v>
      </c>
      <c r="G45">
        <f t="shared" si="2"/>
        <v>1.3632131932437827E-2</v>
      </c>
      <c r="J45">
        <f t="shared" si="4"/>
        <v>11.831953330824238</v>
      </c>
      <c r="K45">
        <v>0.79159450783752305</v>
      </c>
      <c r="L45">
        <f t="shared" si="3"/>
        <v>0.12768003731230368</v>
      </c>
      <c r="M45">
        <v>0.12817000000000001</v>
      </c>
      <c r="N45">
        <f t="shared" si="5"/>
        <v>3.8227563992847546E-3</v>
      </c>
    </row>
    <row r="46" spans="1:14" x14ac:dyDescent="0.3">
      <c r="A46">
        <v>34</v>
      </c>
      <c r="B46">
        <v>-3.5150000000000001</v>
      </c>
      <c r="C46">
        <v>29.6557</v>
      </c>
      <c r="D46">
        <v>-3.0661999999999998</v>
      </c>
      <c r="E46">
        <f t="shared" si="6"/>
        <v>33.170699999999997</v>
      </c>
      <c r="F46">
        <f t="shared" si="1"/>
        <v>0.44880000000000031</v>
      </c>
      <c r="G46">
        <f t="shared" si="2"/>
        <v>1.3530012933100608E-2</v>
      </c>
      <c r="J46">
        <f t="shared" si="4"/>
        <v>11.831953330824238</v>
      </c>
      <c r="K46">
        <v>0.79364061023440702</v>
      </c>
      <c r="L46">
        <f t="shared" si="3"/>
        <v>0.12705113293928325</v>
      </c>
      <c r="M46">
        <v>0.12820000000000001</v>
      </c>
      <c r="N46">
        <f t="shared" si="5"/>
        <v>8.9615215344521267E-3</v>
      </c>
    </row>
    <row r="47" spans="1:14" x14ac:dyDescent="0.3">
      <c r="A47">
        <v>35</v>
      </c>
      <c r="B47">
        <v>-3.5066000000000002</v>
      </c>
      <c r="C47">
        <v>29.758700000000001</v>
      </c>
      <c r="D47">
        <v>-3.0575000000000001</v>
      </c>
      <c r="E47">
        <f t="shared" si="6"/>
        <v>33.265300000000003</v>
      </c>
      <c r="F47">
        <f t="shared" si="1"/>
        <v>0.44910000000000005</v>
      </c>
      <c r="G47">
        <f t="shared" si="2"/>
        <v>1.3500554632003921E-2</v>
      </c>
      <c r="J47">
        <f t="shared" si="4"/>
        <v>11.831953330824238</v>
      </c>
      <c r="K47">
        <v>0.79567757122641403</v>
      </c>
      <c r="L47">
        <f t="shared" si="3"/>
        <v>0.12709989004188474</v>
      </c>
      <c r="M47">
        <v>0.12822</v>
      </c>
      <c r="N47">
        <f t="shared" si="5"/>
        <v>8.7358443153584611E-3</v>
      </c>
    </row>
    <row r="48" spans="1:14" x14ac:dyDescent="0.3">
      <c r="A48">
        <v>36</v>
      </c>
      <c r="B48">
        <v>-3.4979</v>
      </c>
      <c r="C48">
        <v>29.860199999999999</v>
      </c>
      <c r="D48">
        <v>-3.0482</v>
      </c>
      <c r="E48">
        <f t="shared" si="6"/>
        <v>33.3581</v>
      </c>
      <c r="F48">
        <f t="shared" si="1"/>
        <v>0.44969999999999999</v>
      </c>
      <c r="G48">
        <f t="shared" si="2"/>
        <v>1.3480983629163531E-2</v>
      </c>
      <c r="J48">
        <f t="shared" si="4"/>
        <v>11.831953330824238</v>
      </c>
      <c r="K48">
        <v>0.79770513956142797</v>
      </c>
      <c r="L48">
        <f t="shared" si="3"/>
        <v>0.12723905046682329</v>
      </c>
      <c r="M48">
        <v>0.12825</v>
      </c>
      <c r="N48">
        <f t="shared" si="5"/>
        <v>7.8826474321770611E-3</v>
      </c>
    </row>
    <row r="49" spans="1:14" x14ac:dyDescent="0.3">
      <c r="A49">
        <v>37</v>
      </c>
      <c r="B49">
        <v>-3.4883999999999999</v>
      </c>
      <c r="C49">
        <v>29.961400000000001</v>
      </c>
      <c r="D49">
        <v>-3.0381999999999998</v>
      </c>
      <c r="E49">
        <f t="shared" si="6"/>
        <v>33.449800000000003</v>
      </c>
      <c r="F49">
        <f t="shared" si="1"/>
        <v>0.45020000000000016</v>
      </c>
      <c r="G49">
        <f t="shared" si="2"/>
        <v>1.3458974343643314E-2</v>
      </c>
      <c r="J49">
        <f t="shared" si="4"/>
        <v>11.831953330824238</v>
      </c>
      <c r="K49">
        <v>0.79972297505663104</v>
      </c>
      <c r="L49">
        <f t="shared" si="3"/>
        <v>0.12735264994976894</v>
      </c>
      <c r="M49">
        <v>0.12828000000000001</v>
      </c>
      <c r="N49">
        <f t="shared" si="5"/>
        <v>7.2291085923843366E-3</v>
      </c>
    </row>
    <row r="50" spans="1:14" x14ac:dyDescent="0.3">
      <c r="A50">
        <v>38</v>
      </c>
      <c r="B50">
        <v>-3.4796999999999998</v>
      </c>
      <c r="C50">
        <v>30.060500000000001</v>
      </c>
      <c r="D50">
        <v>-3.0293000000000001</v>
      </c>
      <c r="E50">
        <f t="shared" si="6"/>
        <v>33.540199999999999</v>
      </c>
      <c r="F50">
        <f t="shared" si="1"/>
        <v>0.45039999999999969</v>
      </c>
      <c r="G50">
        <f t="shared" si="2"/>
        <v>1.3428661725332577E-2</v>
      </c>
      <c r="J50">
        <f t="shared" si="4"/>
        <v>11.831953330824238</v>
      </c>
      <c r="K50">
        <v>0.80172613999472897</v>
      </c>
      <c r="L50">
        <f t="shared" si="3"/>
        <v>0.12738410078481274</v>
      </c>
      <c r="M50">
        <v>0.1283</v>
      </c>
      <c r="N50">
        <f t="shared" si="5"/>
        <v>7.1387312173597402E-3</v>
      </c>
    </row>
    <row r="51" spans="1:14" x14ac:dyDescent="0.3">
      <c r="A51">
        <v>39</v>
      </c>
      <c r="B51">
        <v>-3.4695999999999998</v>
      </c>
      <c r="C51">
        <v>30.153600000000001</v>
      </c>
      <c r="D51">
        <v>-3.0185</v>
      </c>
      <c r="E51">
        <f t="shared" si="6"/>
        <v>33.623199999999997</v>
      </c>
      <c r="F51">
        <f t="shared" si="1"/>
        <v>0.45109999999999983</v>
      </c>
      <c r="G51">
        <f t="shared" si="2"/>
        <v>1.3416331580575314E-2</v>
      </c>
      <c r="J51">
        <f t="shared" si="4"/>
        <v>11.831953330824238</v>
      </c>
      <c r="K51">
        <v>0.80371262043775105</v>
      </c>
      <c r="L51">
        <f t="shared" si="3"/>
        <v>0.12758247390564612</v>
      </c>
      <c r="M51">
        <v>0.12833</v>
      </c>
      <c r="N51">
        <f t="shared" si="5"/>
        <v>5.825029956782391E-3</v>
      </c>
    </row>
    <row r="52" spans="1:14" x14ac:dyDescent="0.3">
      <c r="A52">
        <v>40</v>
      </c>
      <c r="B52">
        <v>-3.4590999999999998</v>
      </c>
      <c r="C52">
        <v>30.253</v>
      </c>
      <c r="D52">
        <v>-3.0081000000000002</v>
      </c>
      <c r="E52">
        <f t="shared" si="6"/>
        <v>33.7121</v>
      </c>
      <c r="F52">
        <f t="shared" si="1"/>
        <v>0.45099999999999962</v>
      </c>
      <c r="G52">
        <f t="shared" si="2"/>
        <v>1.3377985945699011E-2</v>
      </c>
      <c r="J52">
        <f t="shared" si="4"/>
        <v>11.831953330824238</v>
      </c>
      <c r="K52">
        <v>0.80568340774207703</v>
      </c>
      <c r="L52">
        <f t="shared" si="3"/>
        <v>0.12752977786612169</v>
      </c>
      <c r="M52">
        <v>0.12836</v>
      </c>
      <c r="N52">
        <f t="shared" si="5"/>
        <v>6.4679193976185465E-3</v>
      </c>
    </row>
    <row r="53" spans="1:14" x14ac:dyDescent="0.3">
      <c r="A53">
        <v>41</v>
      </c>
      <c r="B53">
        <v>-3.4476</v>
      </c>
      <c r="C53">
        <v>30.353100000000001</v>
      </c>
      <c r="D53">
        <v>-2.9967000000000001</v>
      </c>
      <c r="E53">
        <f t="shared" si="6"/>
        <v>33.800699999999999</v>
      </c>
      <c r="F53">
        <f t="shared" si="1"/>
        <v>0.45089999999999986</v>
      </c>
      <c r="G53">
        <f t="shared" si="2"/>
        <v>1.3339960415020986E-2</v>
      </c>
      <c r="J53">
        <f t="shared" si="4"/>
        <v>11.831953330824238</v>
      </c>
      <c r="K53">
        <v>0.80763949326408602</v>
      </c>
      <c r="L53">
        <f t="shared" si="3"/>
        <v>0.1274760319788415</v>
      </c>
      <c r="M53">
        <v>0.12837999999999999</v>
      </c>
      <c r="N53">
        <f t="shared" si="5"/>
        <v>7.0413461688619465E-3</v>
      </c>
    </row>
    <row r="54" spans="1:14" x14ac:dyDescent="0.3">
      <c r="A54">
        <v>42</v>
      </c>
      <c r="B54">
        <v>-3.4369000000000001</v>
      </c>
      <c r="C54">
        <v>30.448899999999998</v>
      </c>
      <c r="D54">
        <v>-2.9861</v>
      </c>
      <c r="E54">
        <f t="shared" si="6"/>
        <v>33.885799999999996</v>
      </c>
      <c r="F54">
        <f t="shared" si="1"/>
        <v>0.45080000000000009</v>
      </c>
      <c r="G54">
        <f t="shared" si="2"/>
        <v>1.3303507663977246E-2</v>
      </c>
      <c r="J54">
        <f t="shared" si="4"/>
        <v>11.831953330824238</v>
      </c>
      <c r="K54">
        <v>0.809581868360157</v>
      </c>
      <c r="L54">
        <f t="shared" si="3"/>
        <v>0.12743343364095366</v>
      </c>
      <c r="M54">
        <v>0.12841</v>
      </c>
      <c r="N54">
        <f t="shared" si="5"/>
        <v>7.6050647071593527E-3</v>
      </c>
    </row>
    <row r="55" spans="1:14" x14ac:dyDescent="0.3">
      <c r="A55">
        <v>43</v>
      </c>
      <c r="B55">
        <v>-3.4241999999999999</v>
      </c>
      <c r="C55">
        <v>30.5503</v>
      </c>
      <c r="D55">
        <v>-2.9738000000000002</v>
      </c>
      <c r="E55">
        <f t="shared" si="6"/>
        <v>33.974499999999999</v>
      </c>
      <c r="F55">
        <f t="shared" si="1"/>
        <v>0.45039999999999969</v>
      </c>
      <c r="G55">
        <f t="shared" si="2"/>
        <v>1.3257001574710436E-2</v>
      </c>
      <c r="J55">
        <f t="shared" si="4"/>
        <v>11.831953330824238</v>
      </c>
      <c r="K55">
        <v>0.81151152438666896</v>
      </c>
      <c r="L55">
        <f t="shared" si="3"/>
        <v>0.12729063339798027</v>
      </c>
      <c r="M55">
        <v>0.12844</v>
      </c>
      <c r="N55">
        <f t="shared" si="5"/>
        <v>8.9486655404836853E-3</v>
      </c>
    </row>
    <row r="56" spans="1:14" x14ac:dyDescent="0.3">
      <c r="A56">
        <v>44</v>
      </c>
      <c r="B56">
        <v>-3.4119999999999999</v>
      </c>
      <c r="C56">
        <v>30.635100000000001</v>
      </c>
      <c r="D56">
        <v>-2.9624000000000001</v>
      </c>
      <c r="E56">
        <f t="shared" si="6"/>
        <v>34.0471</v>
      </c>
      <c r="F56">
        <f t="shared" si="1"/>
        <v>0.44959999999999978</v>
      </c>
      <c r="G56">
        <f t="shared" si="2"/>
        <v>1.3205236275629929E-2</v>
      </c>
      <c r="J56">
        <f t="shared" si="4"/>
        <v>11.831953330824238</v>
      </c>
      <c r="K56">
        <v>0.8134294527</v>
      </c>
      <c r="L56">
        <f t="shared" si="3"/>
        <v>0.12709325937568922</v>
      </c>
      <c r="M56">
        <v>0.12845999999999999</v>
      </c>
      <c r="N56">
        <f t="shared" si="5"/>
        <v>1.0639425691349642E-2</v>
      </c>
    </row>
    <row r="57" spans="1:14" x14ac:dyDescent="0.3">
      <c r="A57">
        <v>45</v>
      </c>
      <c r="B57">
        <v>-3.4011999999999998</v>
      </c>
      <c r="C57">
        <v>30.727900000000002</v>
      </c>
      <c r="D57">
        <v>-2.9517000000000002</v>
      </c>
      <c r="E57">
        <f t="shared" si="6"/>
        <v>34.129100000000001</v>
      </c>
      <c r="F57">
        <f t="shared" si="1"/>
        <v>0.44949999999999957</v>
      </c>
      <c r="G57">
        <f t="shared" si="2"/>
        <v>1.3170578772953273E-2</v>
      </c>
      <c r="J57">
        <f t="shared" si="4"/>
        <v>11.831953330824238</v>
      </c>
      <c r="K57">
        <v>0.815336644656529</v>
      </c>
      <c r="L57">
        <f t="shared" si="3"/>
        <v>0.12705690437939607</v>
      </c>
      <c r="M57">
        <v>0.12848999999999999</v>
      </c>
      <c r="N57">
        <f t="shared" si="5"/>
        <v>1.1153363067973576E-2</v>
      </c>
    </row>
    <row r="58" spans="1:14" x14ac:dyDescent="0.3">
      <c r="A58">
        <v>46</v>
      </c>
      <c r="B58">
        <v>-3.3894000000000002</v>
      </c>
      <c r="C58">
        <v>30.819600000000001</v>
      </c>
      <c r="D58">
        <v>-2.9392999999999998</v>
      </c>
      <c r="E58">
        <f t="shared" si="6"/>
        <v>34.209000000000003</v>
      </c>
      <c r="F58">
        <f t="shared" si="1"/>
        <v>0.45010000000000039</v>
      </c>
      <c r="G58">
        <f t="shared" si="2"/>
        <v>1.3157356251278913E-2</v>
      </c>
      <c r="J58">
        <f t="shared" si="4"/>
        <v>11.831953330824238</v>
      </c>
      <c r="K58">
        <v>0.81723409161263605</v>
      </c>
      <c r="L58">
        <f t="shared" si="3"/>
        <v>0.12722473565748479</v>
      </c>
      <c r="M58">
        <v>0.12851000000000001</v>
      </c>
      <c r="N58">
        <f t="shared" si="5"/>
        <v>1.0001278830559636E-2</v>
      </c>
    </row>
    <row r="59" spans="1:14" x14ac:dyDescent="0.3">
      <c r="A59">
        <v>47</v>
      </c>
      <c r="B59">
        <v>-3.3765000000000001</v>
      </c>
      <c r="C59">
        <v>30.907800000000002</v>
      </c>
      <c r="D59">
        <v>-2.9253</v>
      </c>
      <c r="E59">
        <f t="shared" si="6"/>
        <v>34.284300000000002</v>
      </c>
      <c r="F59">
        <f t="shared" si="1"/>
        <v>0.45120000000000005</v>
      </c>
      <c r="G59">
        <f t="shared" si="2"/>
        <v>1.3160542872393486E-2</v>
      </c>
      <c r="J59">
        <f t="shared" si="4"/>
        <v>11.831953330824238</v>
      </c>
      <c r="K59">
        <v>0.81912277877001605</v>
      </c>
      <c r="L59">
        <f t="shared" si="3"/>
        <v>0.1275496453994569</v>
      </c>
      <c r="M59">
        <v>0.12853999999999999</v>
      </c>
      <c r="N59">
        <f t="shared" si="5"/>
        <v>7.7046413610011395E-3</v>
      </c>
    </row>
    <row r="60" spans="1:14" x14ac:dyDescent="0.3">
      <c r="A60">
        <v>48</v>
      </c>
      <c r="B60">
        <v>-3.3641999999999999</v>
      </c>
      <c r="C60">
        <v>30.9983</v>
      </c>
      <c r="D60">
        <v>-2.9123000000000001</v>
      </c>
      <c r="E60">
        <f t="shared" si="6"/>
        <v>34.362499999999997</v>
      </c>
      <c r="F60">
        <f t="shared" si="1"/>
        <v>0.45189999999999975</v>
      </c>
      <c r="G60">
        <f t="shared" si="2"/>
        <v>1.3150963986904322E-2</v>
      </c>
      <c r="J60">
        <f t="shared" si="4"/>
        <v>11.831953330824238</v>
      </c>
      <c r="K60">
        <v>0.82100313594880003</v>
      </c>
      <c r="L60">
        <f t="shared" si="3"/>
        <v>0.12774939511246436</v>
      </c>
      <c r="M60">
        <v>0.12856999999999999</v>
      </c>
      <c r="N60">
        <f t="shared" si="5"/>
        <v>6.3825533758701944E-3</v>
      </c>
    </row>
    <row r="61" spans="1:14" x14ac:dyDescent="0.3">
      <c r="A61">
        <v>49</v>
      </c>
      <c r="B61">
        <v>-3.3513999999999999</v>
      </c>
      <c r="C61">
        <v>31.093699999999998</v>
      </c>
      <c r="D61">
        <v>-2.8993000000000002</v>
      </c>
      <c r="E61">
        <f t="shared" si="6"/>
        <v>34.445099999999996</v>
      </c>
      <c r="F61">
        <f t="shared" si="1"/>
        <v>0.45209999999999972</v>
      </c>
      <c r="G61">
        <f t="shared" si="2"/>
        <v>1.3125234068125793E-2</v>
      </c>
      <c r="J61">
        <f t="shared" si="4"/>
        <v>11.831953330824238</v>
      </c>
      <c r="K61">
        <v>0.82287508596766801</v>
      </c>
      <c r="L61">
        <f t="shared" si="3"/>
        <v>0.12779016137593743</v>
      </c>
      <c r="M61">
        <v>0.12859000000000001</v>
      </c>
      <c r="N61">
        <f t="shared" si="5"/>
        <v>6.2200686216857962E-3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刘振文</dc:creator>
  <cp:lastModifiedBy>振文 刘</cp:lastModifiedBy>
  <dcterms:created xsi:type="dcterms:W3CDTF">2015-06-05T18:19:34Z</dcterms:created>
  <dcterms:modified xsi:type="dcterms:W3CDTF">2026-10-19T15:03:46Z</dcterms:modified>
</cp:coreProperties>
</file>