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LiuZh\Desktop\"/>
    </mc:Choice>
  </mc:AlternateContent>
  <xr:revisionPtr revIDLastSave="0" documentId="13_ncr:1_{F6451179-7B3F-4930-BF96-CEF98DC88724}" xr6:coauthVersionLast="47" xr6:coauthVersionMax="47" xr10:uidLastSave="{00000000-0000-0000-0000-000000000000}"/>
  <bookViews>
    <workbookView xWindow="4120" yWindow="3280" windowWidth="19200" windowHeight="11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3" i="1" l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L17" i="1"/>
  <c r="L18" i="1"/>
  <c r="L19" i="1"/>
  <c r="L20" i="1"/>
  <c r="L21" i="1"/>
  <c r="L22" i="1"/>
  <c r="L23" i="1"/>
  <c r="L24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2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2" i="1"/>
  <c r="J2" i="1"/>
  <c r="G36" i="1" l="1"/>
  <c r="G35" i="1"/>
  <c r="G34" i="1"/>
  <c r="G33" i="1"/>
  <c r="G32" i="1"/>
  <c r="G31" i="1"/>
  <c r="G30" i="1"/>
  <c r="G29" i="1"/>
  <c r="G28" i="1"/>
  <c r="G27" i="1"/>
  <c r="G26" i="1"/>
  <c r="G25" i="1"/>
  <c r="G24" i="1"/>
  <c r="G2" i="1"/>
  <c r="L2" i="1"/>
  <c r="J3" i="1"/>
  <c r="J4" i="1" l="1"/>
  <c r="J5" i="1" l="1"/>
  <c r="J6" i="1" l="1"/>
  <c r="J7" i="1" l="1"/>
  <c r="J8" i="1" l="1"/>
  <c r="J9" i="1" l="1"/>
  <c r="J10" i="1" l="1"/>
  <c r="J11" i="1" l="1"/>
  <c r="J12" i="1" l="1"/>
  <c r="J13" i="1" l="1"/>
  <c r="J14" i="1" l="1"/>
  <c r="J15" i="1" l="1"/>
  <c r="J16" i="1" l="1"/>
  <c r="J17" i="1" l="1"/>
  <c r="J18" i="1" l="1"/>
  <c r="J19" i="1" l="1"/>
  <c r="J20" i="1" l="1"/>
  <c r="J21" i="1" l="1"/>
  <c r="J22" i="1" l="1"/>
  <c r="J23" i="1" l="1"/>
  <c r="J24" i="1" l="1"/>
  <c r="J25" i="1" l="1"/>
  <c r="J26" i="1" l="1"/>
  <c r="L25" i="1"/>
  <c r="L26" i="1" l="1"/>
  <c r="J27" i="1"/>
  <c r="J28" i="1" l="1"/>
  <c r="L27" i="1"/>
  <c r="L28" i="1" l="1"/>
  <c r="J29" i="1"/>
  <c r="L29" i="1" l="1"/>
  <c r="J30" i="1"/>
  <c r="J31" i="1" l="1"/>
  <c r="L30" i="1"/>
  <c r="L31" i="1" l="1"/>
  <c r="J32" i="1"/>
  <c r="L32" i="1" l="1"/>
  <c r="J33" i="1"/>
  <c r="J34" i="1" l="1"/>
  <c r="L33" i="1"/>
  <c r="L34" i="1" l="1"/>
  <c r="J35" i="1"/>
  <c r="L35" i="1" l="1"/>
  <c r="J36" i="1"/>
  <c r="L36" i="1" l="1"/>
</calcChain>
</file>

<file path=xl/sharedStrings.xml><?xml version="1.0" encoding="utf-8"?>
<sst xmlns="http://schemas.openxmlformats.org/spreadsheetml/2006/main" count="13" uniqueCount="13">
  <si>
    <t>基础Temperature (°C)</t>
    <phoneticPr fontId="1" type="noConversion"/>
  </si>
  <si>
    <t>基础Heat Flow Endo Up (mW)</t>
    <phoneticPr fontId="1" type="noConversion"/>
  </si>
  <si>
    <t>试样Heat Flow Endo Up (mW)</t>
    <phoneticPr fontId="1" type="noConversion"/>
  </si>
  <si>
    <t>蓝宝石</t>
    <phoneticPr fontId="1" type="noConversion"/>
  </si>
  <si>
    <t>试样</t>
    <phoneticPr fontId="1" type="noConversion"/>
  </si>
  <si>
    <t>比值</t>
    <phoneticPr fontId="1" type="noConversion"/>
  </si>
  <si>
    <t>蓝宝石质量</t>
    <phoneticPr fontId="1" type="noConversion"/>
  </si>
  <si>
    <t>试样质量</t>
    <phoneticPr fontId="1" type="noConversion"/>
  </si>
  <si>
    <t>质量比</t>
    <phoneticPr fontId="1" type="noConversion"/>
  </si>
  <si>
    <t>蓝宝石比热容</t>
    <phoneticPr fontId="1" type="noConversion"/>
  </si>
  <si>
    <t>蓝宝石Heat Flow Endo up （mW）</t>
    <phoneticPr fontId="1" type="noConversion"/>
  </si>
  <si>
    <t>试样计算  J/（g*℃）</t>
    <phoneticPr fontId="1" type="noConversion"/>
  </si>
  <si>
    <t>纯金参考 J/（g*℃）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</si>
</sst>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6"/>
  <sheetViews>
    <sheetView tabSelected="1" workbookViewId="0">
      <selection activeCell="M1" sqref="M1"/>
    </sheetView>
  </sheetViews>
  <sheetFormatPr defaultRowHeight="14" x14ac:dyDescent="0.3"/>
  <sheetData>
    <row r="1" spans="1:13" x14ac:dyDescent="0.3">
      <c r="A1" t="s">
        <v>0</v>
      </c>
      <c r="B1" t="s">
        <v>1</v>
      </c>
      <c r="C1" t="s">
        <v>10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11</v>
      </c>
      <c r="M1" t="s">
        <v>12</v>
      </c>
    </row>
    <row r="2" spans="1:13" x14ac:dyDescent="0.3">
      <c r="A2">
        <v>10</v>
      </c>
      <c r="B2">
        <v>-0.43940000000000001</v>
      </c>
      <c r="C2">
        <v>-2.7099999999999999E-2</v>
      </c>
      <c r="D2">
        <v>-3.4700000000000002E-2</v>
      </c>
      <c r="E2">
        <f>C2-B2</f>
        <v>0.4123</v>
      </c>
      <c r="F2">
        <f>D2-B2</f>
        <v>0.4047</v>
      </c>
      <c r="G2">
        <f>F2/E2</f>
        <v>0.98156682027649766</v>
      </c>
      <c r="H2" s="1">
        <v>4.99</v>
      </c>
      <c r="I2">
        <v>11.48</v>
      </c>
      <c r="J2">
        <f>H2/I2</f>
        <v>0.43466898954703831</v>
      </c>
      <c r="K2">
        <v>0.74161699595694197</v>
      </c>
      <c r="L2">
        <f>K2*J2*G2</f>
        <v>0.31641582896833398</v>
      </c>
      <c r="M2">
        <v>0.12756999999999999</v>
      </c>
    </row>
    <row r="3" spans="1:13" x14ac:dyDescent="0.3">
      <c r="A3">
        <v>11</v>
      </c>
      <c r="B3">
        <v>-2.5444</v>
      </c>
      <c r="C3">
        <v>-2.6084999999999998</v>
      </c>
      <c r="D3">
        <v>-2.2664</v>
      </c>
      <c r="E3">
        <f t="shared" ref="E3:E36" si="0">C3-B3</f>
        <v>-6.4099999999999824E-2</v>
      </c>
      <c r="F3">
        <f t="shared" ref="F3:F36" si="1">D3-B3</f>
        <v>0.27800000000000002</v>
      </c>
      <c r="G3">
        <f t="shared" ref="G3:G23" si="2">F3/E3</f>
        <v>-4.3369734789391696</v>
      </c>
      <c r="J3">
        <f>J2</f>
        <v>0.43466898954703831</v>
      </c>
      <c r="K3">
        <v>0.74392074973289501</v>
      </c>
      <c r="L3">
        <f t="shared" ref="L3:L24" si="3">K3*J3*G3</f>
        <v>-1.4024006240853923</v>
      </c>
      <c r="M3">
        <v>0.12759000000000001</v>
      </c>
    </row>
    <row r="4" spans="1:13" x14ac:dyDescent="0.3">
      <c r="A4">
        <v>12</v>
      </c>
      <c r="B4">
        <v>-4.2964000000000002</v>
      </c>
      <c r="C4">
        <v>-4.0350000000000001</v>
      </c>
      <c r="D4">
        <v>-1.9424999999999999</v>
      </c>
      <c r="E4">
        <f t="shared" si="0"/>
        <v>0.26140000000000008</v>
      </c>
      <c r="F4">
        <f t="shared" si="1"/>
        <v>2.3539000000000003</v>
      </c>
      <c r="G4">
        <f t="shared" si="2"/>
        <v>9.0049732211170603</v>
      </c>
      <c r="J4">
        <f t="shared" ref="J4:J36" si="4">J3</f>
        <v>0.43466898954703831</v>
      </c>
      <c r="K4">
        <v>0.74621352330649604</v>
      </c>
      <c r="L4">
        <f t="shared" si="3"/>
        <v>2.9208159969604477</v>
      </c>
      <c r="M4">
        <v>0.12762000000000001</v>
      </c>
    </row>
    <row r="5" spans="1:13" x14ac:dyDescent="0.3">
      <c r="A5">
        <v>13</v>
      </c>
      <c r="B5">
        <v>-3.2503000000000002</v>
      </c>
      <c r="C5">
        <v>-2.6145</v>
      </c>
      <c r="D5">
        <v>2.0788000000000002</v>
      </c>
      <c r="E5">
        <f t="shared" si="0"/>
        <v>0.63580000000000014</v>
      </c>
      <c r="F5">
        <f t="shared" si="1"/>
        <v>5.3291000000000004</v>
      </c>
      <c r="G5">
        <f t="shared" si="2"/>
        <v>8.3817238125196596</v>
      </c>
      <c r="J5">
        <f t="shared" si="4"/>
        <v>0.43466898954703831</v>
      </c>
      <c r="K5">
        <v>0.74849446130307495</v>
      </c>
      <c r="L5">
        <f t="shared" si="3"/>
        <v>2.7269714730589603</v>
      </c>
      <c r="M5">
        <v>0.12765000000000001</v>
      </c>
    </row>
    <row r="6" spans="1:13" x14ac:dyDescent="0.3">
      <c r="A6">
        <v>14</v>
      </c>
      <c r="B6">
        <v>-2.0691999999999999</v>
      </c>
      <c r="C6">
        <v>-1.1943999999999999</v>
      </c>
      <c r="D6">
        <v>6.0278</v>
      </c>
      <c r="E6">
        <f t="shared" si="0"/>
        <v>0.87480000000000002</v>
      </c>
      <c r="F6">
        <f t="shared" si="1"/>
        <v>8.0969999999999995</v>
      </c>
      <c r="G6">
        <f t="shared" si="2"/>
        <v>9.2558299039780518</v>
      </c>
      <c r="J6">
        <f t="shared" si="4"/>
        <v>0.43466898954703831</v>
      </c>
      <c r="K6">
        <v>0.75076270834796199</v>
      </c>
      <c r="L6">
        <f t="shared" si="3"/>
        <v>3.0204852190179361</v>
      </c>
      <c r="M6">
        <v>0.12767000000000001</v>
      </c>
    </row>
    <row r="7" spans="1:13" x14ac:dyDescent="0.3">
      <c r="A7">
        <v>15</v>
      </c>
      <c r="B7">
        <v>-1.2931999999999999</v>
      </c>
      <c r="C7">
        <v>-0.26240000000000002</v>
      </c>
      <c r="D7">
        <v>9.0158000000000005</v>
      </c>
      <c r="E7">
        <f t="shared" si="0"/>
        <v>1.0307999999999999</v>
      </c>
      <c r="F7">
        <f t="shared" si="1"/>
        <v>10.309000000000001</v>
      </c>
      <c r="G7">
        <f t="shared" si="2"/>
        <v>10.000970120294918</v>
      </c>
      <c r="J7">
        <f t="shared" si="4"/>
        <v>0.43466898954703831</v>
      </c>
      <c r="K7">
        <v>0.75301740906648695</v>
      </c>
      <c r="L7">
        <f t="shared" si="3"/>
        <v>3.2734506963935361</v>
      </c>
      <c r="M7">
        <v>0.12770000000000001</v>
      </c>
    </row>
    <row r="8" spans="1:13" x14ac:dyDescent="0.3">
      <c r="A8">
        <v>16</v>
      </c>
      <c r="B8">
        <v>-0.85029999999999994</v>
      </c>
      <c r="C8">
        <v>0.27189999999999998</v>
      </c>
      <c r="D8">
        <v>11.1289</v>
      </c>
      <c r="E8">
        <f t="shared" si="0"/>
        <v>1.1221999999999999</v>
      </c>
      <c r="F8">
        <f t="shared" si="1"/>
        <v>11.979200000000001</v>
      </c>
      <c r="G8">
        <f t="shared" si="2"/>
        <v>10.674746034574945</v>
      </c>
      <c r="J8">
        <f t="shared" si="4"/>
        <v>0.43466898954703831</v>
      </c>
      <c r="K8">
        <v>0.75525770808398196</v>
      </c>
      <c r="L8">
        <f t="shared" si="3"/>
        <v>3.5043814703844705</v>
      </c>
      <c r="M8">
        <v>0.12772</v>
      </c>
    </row>
    <row r="9" spans="1:13" x14ac:dyDescent="0.3">
      <c r="A9">
        <v>17</v>
      </c>
      <c r="B9">
        <v>-0.61409999999999998</v>
      </c>
      <c r="C9">
        <v>0.56189999999999996</v>
      </c>
      <c r="D9">
        <v>12.570399999999999</v>
      </c>
      <c r="E9">
        <f t="shared" si="0"/>
        <v>1.1759999999999999</v>
      </c>
      <c r="F9">
        <f t="shared" si="1"/>
        <v>13.1845</v>
      </c>
      <c r="G9">
        <f t="shared" si="2"/>
        <v>11.211309523809524</v>
      </c>
      <c r="J9">
        <f t="shared" si="4"/>
        <v>0.43466898954703831</v>
      </c>
      <c r="K9">
        <v>0.75748280347152996</v>
      </c>
      <c r="L9">
        <f t="shared" si="3"/>
        <v>3.6913716987565057</v>
      </c>
      <c r="M9">
        <v>0.12775</v>
      </c>
    </row>
    <row r="10" spans="1:13" x14ac:dyDescent="0.3">
      <c r="A10">
        <v>18</v>
      </c>
      <c r="B10">
        <v>-0.49299999999999999</v>
      </c>
      <c r="C10">
        <v>0.71399999999999997</v>
      </c>
      <c r="D10">
        <v>13.517200000000001</v>
      </c>
      <c r="E10">
        <f t="shared" si="0"/>
        <v>1.2069999999999999</v>
      </c>
      <c r="F10">
        <f t="shared" si="1"/>
        <v>14.010200000000001</v>
      </c>
      <c r="G10">
        <f t="shared" si="2"/>
        <v>11.607456503728255</v>
      </c>
      <c r="J10">
        <f t="shared" si="4"/>
        <v>0.43466898954703831</v>
      </c>
      <c r="K10">
        <v>0.75969510226494397</v>
      </c>
      <c r="L10">
        <f t="shared" si="3"/>
        <v>3.8329667247057722</v>
      </c>
      <c r="M10">
        <v>0.12778</v>
      </c>
    </row>
    <row r="11" spans="1:13" x14ac:dyDescent="0.3">
      <c r="A11">
        <v>19</v>
      </c>
      <c r="B11">
        <v>-0.43259999999999998</v>
      </c>
      <c r="C11">
        <v>0.79369999999999996</v>
      </c>
      <c r="D11">
        <v>14.141299999999999</v>
      </c>
      <c r="E11">
        <f t="shared" si="0"/>
        <v>1.2262999999999999</v>
      </c>
      <c r="F11">
        <f t="shared" si="1"/>
        <v>14.5739</v>
      </c>
      <c r="G11">
        <f t="shared" si="2"/>
        <v>11.884449155997718</v>
      </c>
      <c r="J11">
        <f t="shared" si="4"/>
        <v>0.43466898954703831</v>
      </c>
      <c r="K11">
        <v>0.76189658793349402</v>
      </c>
      <c r="L11">
        <f t="shared" si="3"/>
        <v>3.9358065413331476</v>
      </c>
      <c r="M11">
        <v>0.1278</v>
      </c>
    </row>
    <row r="12" spans="1:13" x14ac:dyDescent="0.3">
      <c r="A12">
        <v>20</v>
      </c>
      <c r="B12">
        <v>-0.39860000000000001</v>
      </c>
      <c r="C12">
        <v>0.83850000000000002</v>
      </c>
      <c r="D12">
        <v>14.553699999999999</v>
      </c>
      <c r="E12">
        <f t="shared" si="0"/>
        <v>1.2371000000000001</v>
      </c>
      <c r="F12">
        <f t="shared" si="1"/>
        <v>14.952299999999999</v>
      </c>
      <c r="G12">
        <f t="shared" si="2"/>
        <v>12.08657343787891</v>
      </c>
      <c r="J12">
        <f t="shared" si="4"/>
        <v>0.43466898954703831</v>
      </c>
      <c r="K12">
        <v>0.76408768143570505</v>
      </c>
      <c r="L12">
        <f t="shared" si="3"/>
        <v>4.0142558671175834</v>
      </c>
      <c r="M12">
        <v>0.12783</v>
      </c>
    </row>
    <row r="13" spans="1:13" x14ac:dyDescent="0.3">
      <c r="A13">
        <v>21</v>
      </c>
      <c r="B13">
        <v>-0.37640000000000001</v>
      </c>
      <c r="C13">
        <v>0.8669</v>
      </c>
      <c r="D13">
        <v>14.829700000000001</v>
      </c>
      <c r="E13">
        <f t="shared" si="0"/>
        <v>1.2433000000000001</v>
      </c>
      <c r="F13">
        <f t="shared" si="1"/>
        <v>15.206100000000001</v>
      </c>
      <c r="G13">
        <f t="shared" si="2"/>
        <v>12.230435132309177</v>
      </c>
      <c r="J13">
        <f t="shared" si="4"/>
        <v>0.43466898954703831</v>
      </c>
      <c r="K13">
        <v>0.76626880373009998</v>
      </c>
      <c r="L13">
        <f t="shared" si="3"/>
        <v>4.0736312265406243</v>
      </c>
      <c r="M13">
        <v>0.12786</v>
      </c>
    </row>
    <row r="14" spans="1:13" x14ac:dyDescent="0.3">
      <c r="A14">
        <v>22</v>
      </c>
      <c r="B14">
        <v>-0.3669</v>
      </c>
      <c r="C14">
        <v>0.88119999999999998</v>
      </c>
      <c r="D14">
        <v>15.001200000000001</v>
      </c>
      <c r="E14">
        <f t="shared" si="0"/>
        <v>1.2481</v>
      </c>
      <c r="F14">
        <f t="shared" si="1"/>
        <v>15.3681</v>
      </c>
      <c r="G14">
        <f t="shared" si="2"/>
        <v>12.313196058008172</v>
      </c>
      <c r="J14">
        <f t="shared" si="4"/>
        <v>0.43466898954703831</v>
      </c>
      <c r="K14">
        <v>0.76844037577520297</v>
      </c>
      <c r="L14">
        <f t="shared" si="3"/>
        <v>4.1128192908527561</v>
      </c>
      <c r="M14">
        <v>0.12787999999999999</v>
      </c>
    </row>
    <row r="15" spans="1:13" x14ac:dyDescent="0.3">
      <c r="A15">
        <v>23</v>
      </c>
      <c r="B15">
        <v>-0.3619</v>
      </c>
      <c r="C15">
        <v>0.88819999999999999</v>
      </c>
      <c r="D15">
        <v>15.1051</v>
      </c>
      <c r="E15">
        <f t="shared" si="0"/>
        <v>1.2501</v>
      </c>
      <c r="F15">
        <f t="shared" si="1"/>
        <v>15.467000000000001</v>
      </c>
      <c r="G15">
        <f t="shared" si="2"/>
        <v>12.372610191184705</v>
      </c>
      <c r="J15">
        <f t="shared" si="4"/>
        <v>0.43466898954703831</v>
      </c>
      <c r="K15">
        <v>0.77060281852953905</v>
      </c>
      <c r="L15">
        <f t="shared" si="3"/>
        <v>4.1442942287989739</v>
      </c>
      <c r="M15">
        <v>0.12791</v>
      </c>
    </row>
    <row r="16" spans="1:13" x14ac:dyDescent="0.3">
      <c r="A16">
        <v>24</v>
      </c>
      <c r="B16">
        <v>-0.36070000000000002</v>
      </c>
      <c r="C16">
        <v>0.89249999999999996</v>
      </c>
      <c r="D16">
        <v>15.1692</v>
      </c>
      <c r="E16">
        <f t="shared" si="0"/>
        <v>1.2532000000000001</v>
      </c>
      <c r="F16">
        <f t="shared" si="1"/>
        <v>15.5299</v>
      </c>
      <c r="G16">
        <f t="shared" si="2"/>
        <v>12.392195978295563</v>
      </c>
      <c r="J16">
        <f t="shared" si="4"/>
        <v>0.43466898954703831</v>
      </c>
      <c r="K16">
        <v>0.77275655295162904</v>
      </c>
      <c r="L16">
        <f t="shared" si="3"/>
        <v>4.1624557257810721</v>
      </c>
      <c r="M16">
        <v>0.12794</v>
      </c>
    </row>
    <row r="17" spans="1:13" x14ac:dyDescent="0.3">
      <c r="A17">
        <v>25</v>
      </c>
      <c r="B17">
        <v>-0.3579</v>
      </c>
      <c r="C17">
        <v>0.89570000000000005</v>
      </c>
      <c r="D17">
        <v>15.211499999999999</v>
      </c>
      <c r="E17">
        <f t="shared" si="0"/>
        <v>1.2536</v>
      </c>
      <c r="F17">
        <f t="shared" si="1"/>
        <v>15.5694</v>
      </c>
      <c r="G17">
        <f t="shared" si="2"/>
        <v>12.419751116783663</v>
      </c>
      <c r="J17">
        <f t="shared" si="4"/>
        <v>0.43466898954703831</v>
      </c>
      <c r="K17">
        <v>0.77490199999999998</v>
      </c>
      <c r="L17">
        <f t="shared" si="3"/>
        <v>4.1832934668719943</v>
      </c>
      <c r="M17">
        <v>0.12795999999999999</v>
      </c>
    </row>
    <row r="18" spans="1:13" x14ac:dyDescent="0.3">
      <c r="A18">
        <v>26</v>
      </c>
      <c r="B18">
        <v>-0.35730000000000001</v>
      </c>
      <c r="C18">
        <v>0.89980000000000004</v>
      </c>
      <c r="D18">
        <v>15.2332</v>
      </c>
      <c r="E18">
        <f t="shared" si="0"/>
        <v>1.2571000000000001</v>
      </c>
      <c r="F18">
        <f t="shared" si="1"/>
        <v>15.5905</v>
      </c>
      <c r="G18">
        <f t="shared" si="2"/>
        <v>12.401956884893803</v>
      </c>
      <c r="J18">
        <f t="shared" si="4"/>
        <v>0.43466898954703831</v>
      </c>
      <c r="K18">
        <v>0.77703192739998805</v>
      </c>
      <c r="L18">
        <f t="shared" si="3"/>
        <v>4.1887818070021696</v>
      </c>
      <c r="M18">
        <v>0.12798999999999999</v>
      </c>
    </row>
    <row r="19" spans="1:13" x14ac:dyDescent="0.3">
      <c r="A19">
        <v>27</v>
      </c>
      <c r="B19">
        <v>-0.35759999999999997</v>
      </c>
      <c r="C19">
        <v>0.90410000000000001</v>
      </c>
      <c r="D19">
        <v>15.249499999999999</v>
      </c>
      <c r="E19">
        <f t="shared" si="0"/>
        <v>1.2617</v>
      </c>
      <c r="F19">
        <f t="shared" si="1"/>
        <v>15.607099999999999</v>
      </c>
      <c r="G19">
        <f t="shared" si="2"/>
        <v>12.369897756994529</v>
      </c>
      <c r="J19">
        <f t="shared" si="4"/>
        <v>0.43466898954703831</v>
      </c>
      <c r="K19">
        <v>0.77913999407242795</v>
      </c>
      <c r="L19">
        <f t="shared" si="3"/>
        <v>4.1892884585937002</v>
      </c>
      <c r="M19">
        <v>0.12801000000000001</v>
      </c>
    </row>
    <row r="20" spans="1:13" x14ac:dyDescent="0.3">
      <c r="A20">
        <v>28</v>
      </c>
      <c r="B20">
        <v>-0.3533</v>
      </c>
      <c r="C20">
        <v>0.91039999999999999</v>
      </c>
      <c r="D20">
        <v>15.2644</v>
      </c>
      <c r="E20">
        <f t="shared" si="0"/>
        <v>1.2637</v>
      </c>
      <c r="F20">
        <f t="shared" si="1"/>
        <v>15.617700000000001</v>
      </c>
      <c r="G20">
        <f t="shared" si="2"/>
        <v>12.358708554245471</v>
      </c>
      <c r="J20">
        <f t="shared" si="4"/>
        <v>0.43466898954703831</v>
      </c>
      <c r="K20">
        <v>0.78123566860409199</v>
      </c>
      <c r="L20">
        <f t="shared" si="3"/>
        <v>4.1967568870113903</v>
      </c>
      <c r="M20">
        <v>0.12803999999999999</v>
      </c>
    </row>
    <row r="21" spans="1:13" x14ac:dyDescent="0.3">
      <c r="A21">
        <v>29</v>
      </c>
      <c r="B21">
        <v>-0.35110000000000002</v>
      </c>
      <c r="C21">
        <v>0.91749999999999998</v>
      </c>
      <c r="D21">
        <v>15.2743</v>
      </c>
      <c r="E21">
        <f t="shared" si="0"/>
        <v>1.2685999999999999</v>
      </c>
      <c r="F21">
        <f t="shared" si="1"/>
        <v>15.625400000000001</v>
      </c>
      <c r="G21">
        <f t="shared" si="2"/>
        <v>12.317042408954755</v>
      </c>
      <c r="J21">
        <f t="shared" si="4"/>
        <v>0.43466898954703831</v>
      </c>
      <c r="K21">
        <v>0.78332370924358696</v>
      </c>
      <c r="L21">
        <f t="shared" si="3"/>
        <v>4.1937869703831092</v>
      </c>
      <c r="M21">
        <v>0.12806999999999999</v>
      </c>
    </row>
    <row r="22" spans="1:13" x14ac:dyDescent="0.3">
      <c r="A22">
        <v>30</v>
      </c>
      <c r="B22">
        <v>-0.34460000000000002</v>
      </c>
      <c r="C22">
        <v>0.92679999999999996</v>
      </c>
      <c r="D22">
        <v>15.2867</v>
      </c>
      <c r="E22">
        <f t="shared" si="0"/>
        <v>1.2713999999999999</v>
      </c>
      <c r="F22">
        <f t="shared" si="1"/>
        <v>15.6313</v>
      </c>
      <c r="G22">
        <f t="shared" si="2"/>
        <v>12.294557181060249</v>
      </c>
      <c r="J22">
        <f t="shared" si="4"/>
        <v>0.43466898954703831</v>
      </c>
      <c r="K22">
        <v>0.78540386473879598</v>
      </c>
      <c r="L22">
        <f t="shared" si="3"/>
        <v>4.1972475347588514</v>
      </c>
      <c r="M22">
        <v>0.12809000000000001</v>
      </c>
    </row>
    <row r="23" spans="1:13" x14ac:dyDescent="0.3">
      <c r="A23">
        <v>31</v>
      </c>
      <c r="B23">
        <v>-0.33750000000000002</v>
      </c>
      <c r="C23">
        <v>0.93589999999999995</v>
      </c>
      <c r="D23">
        <v>15.2964</v>
      </c>
      <c r="E23">
        <f t="shared" si="0"/>
        <v>1.2734000000000001</v>
      </c>
      <c r="F23">
        <f t="shared" si="1"/>
        <v>15.633900000000001</v>
      </c>
      <c r="G23">
        <f t="shared" si="2"/>
        <v>12.277289147165069</v>
      </c>
      <c r="J23">
        <f t="shared" si="4"/>
        <v>0.43466898954703831</v>
      </c>
      <c r="K23">
        <v>0.78747588383760003</v>
      </c>
      <c r="L23">
        <f t="shared" si="3"/>
        <v>4.2024098362582754</v>
      </c>
      <c r="M23">
        <v>0.12812000000000001</v>
      </c>
    </row>
    <row r="24" spans="1:13" x14ac:dyDescent="0.3">
      <c r="A24">
        <v>32</v>
      </c>
      <c r="B24">
        <v>-0.33179999999999998</v>
      </c>
      <c r="C24">
        <v>0.94130000000000003</v>
      </c>
      <c r="D24">
        <v>15.305099999999999</v>
      </c>
      <c r="E24">
        <f t="shared" si="0"/>
        <v>1.2730999999999999</v>
      </c>
      <c r="F24">
        <f t="shared" si="1"/>
        <v>15.636899999999999</v>
      </c>
      <c r="G24">
        <f t="shared" ref="G24:G36" si="5">F24/E24</f>
        <v>12.282538685099365</v>
      </c>
      <c r="J24">
        <f t="shared" si="4"/>
        <v>0.43466898954703831</v>
      </c>
      <c r="K24">
        <v>0.78953951528788202</v>
      </c>
      <c r="L24">
        <f t="shared" si="3"/>
        <v>4.2152241030741013</v>
      </c>
      <c r="M24">
        <v>0.12814999999999999</v>
      </c>
    </row>
    <row r="25" spans="1:13" x14ac:dyDescent="0.3">
      <c r="A25">
        <v>33</v>
      </c>
      <c r="B25">
        <v>-0.33040000000000003</v>
      </c>
      <c r="C25">
        <v>0.94640000000000002</v>
      </c>
      <c r="D25">
        <v>15.312099999999999</v>
      </c>
      <c r="E25">
        <f t="shared" si="0"/>
        <v>1.2768000000000002</v>
      </c>
      <c r="F25">
        <f t="shared" si="1"/>
        <v>15.642499999999998</v>
      </c>
      <c r="G25">
        <f t="shared" si="5"/>
        <v>12.251331453634082</v>
      </c>
      <c r="J25">
        <f t="shared" si="4"/>
        <v>0.43466898954703831</v>
      </c>
      <c r="K25">
        <v>0.79159450783752305</v>
      </c>
      <c r="L25">
        <f t="shared" ref="L25:L36" si="6">K25*J25*G25</f>
        <v>4.2154575431224082</v>
      </c>
      <c r="M25">
        <v>0.12817000000000001</v>
      </c>
    </row>
    <row r="26" spans="1:13" x14ac:dyDescent="0.3">
      <c r="A26">
        <v>34</v>
      </c>
      <c r="B26">
        <v>-0.3246</v>
      </c>
      <c r="C26">
        <v>0.95799999999999996</v>
      </c>
      <c r="D26">
        <v>15.3218</v>
      </c>
      <c r="E26">
        <f t="shared" si="0"/>
        <v>1.2826</v>
      </c>
      <c r="F26">
        <f t="shared" si="1"/>
        <v>15.6464</v>
      </c>
      <c r="G26">
        <f t="shared" si="5"/>
        <v>12.198970840480275</v>
      </c>
      <c r="J26">
        <f t="shared" si="4"/>
        <v>0.43466898954703831</v>
      </c>
      <c r="K26">
        <v>0.79364061023440702</v>
      </c>
      <c r="L26">
        <f t="shared" si="6"/>
        <v>4.208290707642143</v>
      </c>
      <c r="M26">
        <v>0.12820000000000001</v>
      </c>
    </row>
    <row r="27" spans="1:13" x14ac:dyDescent="0.3">
      <c r="A27">
        <v>35</v>
      </c>
      <c r="B27">
        <v>-0.32019999999999998</v>
      </c>
      <c r="C27">
        <v>0.96889999999999998</v>
      </c>
      <c r="D27">
        <v>15.3299</v>
      </c>
      <c r="E27">
        <f t="shared" si="0"/>
        <v>1.2890999999999999</v>
      </c>
      <c r="F27">
        <f t="shared" si="1"/>
        <v>15.6501</v>
      </c>
      <c r="G27">
        <f t="shared" si="5"/>
        <v>12.140330463113802</v>
      </c>
      <c r="J27">
        <f t="shared" si="4"/>
        <v>0.43466898954703831</v>
      </c>
      <c r="K27">
        <v>0.79567757122641403</v>
      </c>
      <c r="L27">
        <f t="shared" si="6"/>
        <v>4.1988105746789559</v>
      </c>
      <c r="M27">
        <v>0.12822</v>
      </c>
    </row>
    <row r="28" spans="1:13" x14ac:dyDescent="0.3">
      <c r="A28">
        <v>36</v>
      </c>
      <c r="B28">
        <v>-0.3145</v>
      </c>
      <c r="C28">
        <v>0.9798</v>
      </c>
      <c r="D28">
        <v>15.3414</v>
      </c>
      <c r="E28">
        <f t="shared" si="0"/>
        <v>1.2943</v>
      </c>
      <c r="F28">
        <f t="shared" si="1"/>
        <v>15.655900000000001</v>
      </c>
      <c r="G28">
        <f t="shared" si="5"/>
        <v>12.096036467588659</v>
      </c>
      <c r="J28">
        <f t="shared" si="4"/>
        <v>0.43466898954703831</v>
      </c>
      <c r="K28">
        <v>0.79770513956142797</v>
      </c>
      <c r="L28">
        <f t="shared" si="6"/>
        <v>4.1941517062721676</v>
      </c>
      <c r="M28">
        <v>0.12825</v>
      </c>
    </row>
    <row r="29" spans="1:13" x14ac:dyDescent="0.3">
      <c r="A29">
        <v>37</v>
      </c>
      <c r="B29">
        <v>-0.31290000000000001</v>
      </c>
      <c r="C29">
        <v>0.99109999999999998</v>
      </c>
      <c r="D29">
        <v>15.349</v>
      </c>
      <c r="E29">
        <f t="shared" si="0"/>
        <v>1.304</v>
      </c>
      <c r="F29">
        <f t="shared" si="1"/>
        <v>15.661900000000001</v>
      </c>
      <c r="G29">
        <f t="shared" si="5"/>
        <v>12.010659509202455</v>
      </c>
      <c r="J29">
        <f t="shared" si="4"/>
        <v>0.43466898954703831</v>
      </c>
      <c r="K29">
        <v>0.79972297505663104</v>
      </c>
      <c r="L29">
        <f t="shared" si="6"/>
        <v>4.1750827327445208</v>
      </c>
      <c r="M29">
        <v>0.12828000000000001</v>
      </c>
    </row>
    <row r="30" spans="1:13" x14ac:dyDescent="0.3">
      <c r="A30">
        <v>38</v>
      </c>
      <c r="B30">
        <v>-0.30590000000000001</v>
      </c>
      <c r="C30">
        <v>1.0011000000000001</v>
      </c>
      <c r="D30">
        <v>15.3561</v>
      </c>
      <c r="E30">
        <f t="shared" si="0"/>
        <v>1.3070000000000002</v>
      </c>
      <c r="F30">
        <f t="shared" si="1"/>
        <v>15.661999999999999</v>
      </c>
      <c r="G30">
        <f t="shared" si="5"/>
        <v>11.983167559296096</v>
      </c>
      <c r="J30">
        <f t="shared" si="4"/>
        <v>0.43466898954703831</v>
      </c>
      <c r="K30">
        <v>0.80172613999472897</v>
      </c>
      <c r="L30">
        <f t="shared" si="6"/>
        <v>4.1759600326132693</v>
      </c>
      <c r="M30">
        <v>0.1283</v>
      </c>
    </row>
    <row r="31" spans="1:13" x14ac:dyDescent="0.3">
      <c r="A31">
        <v>39</v>
      </c>
      <c r="B31">
        <v>-0.29770000000000002</v>
      </c>
      <c r="C31">
        <v>1.0137</v>
      </c>
      <c r="D31">
        <v>15.3642</v>
      </c>
      <c r="E31">
        <f t="shared" si="0"/>
        <v>1.3114000000000001</v>
      </c>
      <c r="F31">
        <f t="shared" si="1"/>
        <v>15.661900000000001</v>
      </c>
      <c r="G31">
        <f t="shared" si="5"/>
        <v>11.942885465914289</v>
      </c>
      <c r="J31">
        <f t="shared" si="4"/>
        <v>0.43466898954703831</v>
      </c>
      <c r="K31">
        <v>0.80371262043775105</v>
      </c>
      <c r="L31">
        <f t="shared" si="6"/>
        <v>4.1722345286807965</v>
      </c>
      <c r="M31">
        <v>0.12833</v>
      </c>
    </row>
    <row r="32" spans="1:13" x14ac:dyDescent="0.3">
      <c r="A32">
        <v>40</v>
      </c>
      <c r="B32">
        <v>-0.28739999999999999</v>
      </c>
      <c r="C32">
        <v>1.0261</v>
      </c>
      <c r="D32">
        <v>15.3775</v>
      </c>
      <c r="E32">
        <f t="shared" si="0"/>
        <v>1.3134999999999999</v>
      </c>
      <c r="F32">
        <f t="shared" si="1"/>
        <v>15.664899999999999</v>
      </c>
      <c r="G32">
        <f t="shared" si="5"/>
        <v>11.926075371145794</v>
      </c>
      <c r="J32">
        <f t="shared" si="4"/>
        <v>0.43466898954703831</v>
      </c>
      <c r="K32">
        <v>0.80568340774207703</v>
      </c>
      <c r="L32">
        <f t="shared" si="6"/>
        <v>4.1765782943909286</v>
      </c>
      <c r="M32">
        <v>0.12836</v>
      </c>
    </row>
    <row r="33" spans="1:13" x14ac:dyDescent="0.3">
      <c r="A33">
        <v>41</v>
      </c>
      <c r="B33">
        <v>-0.27300000000000002</v>
      </c>
      <c r="C33">
        <v>1.0410999999999999</v>
      </c>
      <c r="D33">
        <v>15.396000000000001</v>
      </c>
      <c r="E33">
        <f t="shared" si="0"/>
        <v>1.3140999999999998</v>
      </c>
      <c r="F33">
        <f t="shared" si="1"/>
        <v>15.669</v>
      </c>
      <c r="G33">
        <f t="shared" si="5"/>
        <v>11.92375009512214</v>
      </c>
      <c r="J33">
        <f t="shared" si="4"/>
        <v>0.43466898954703831</v>
      </c>
      <c r="K33">
        <v>0.80763949326408602</v>
      </c>
      <c r="L33">
        <f t="shared" si="6"/>
        <v>4.1859021348705472</v>
      </c>
      <c r="M33">
        <v>0.12837999999999999</v>
      </c>
    </row>
    <row r="34" spans="1:13" x14ac:dyDescent="0.3">
      <c r="A34">
        <v>42</v>
      </c>
      <c r="B34">
        <v>-0.26650000000000001</v>
      </c>
      <c r="C34">
        <v>1.052</v>
      </c>
      <c r="D34">
        <v>15.4041</v>
      </c>
      <c r="E34">
        <f t="shared" si="0"/>
        <v>1.3185</v>
      </c>
      <c r="F34">
        <f t="shared" si="1"/>
        <v>15.6706</v>
      </c>
      <c r="G34">
        <f t="shared" si="5"/>
        <v>11.885172544558211</v>
      </c>
      <c r="J34">
        <f t="shared" si="4"/>
        <v>0.43466898954703831</v>
      </c>
      <c r="K34">
        <v>0.809581868360157</v>
      </c>
      <c r="L34">
        <f t="shared" si="6"/>
        <v>4.1823937953037742</v>
      </c>
      <c r="M34">
        <v>0.12841</v>
      </c>
    </row>
    <row r="35" spans="1:13" x14ac:dyDescent="0.3">
      <c r="A35">
        <v>43</v>
      </c>
      <c r="B35">
        <v>-0.25359999999999999</v>
      </c>
      <c r="C35">
        <v>1.0719000000000001</v>
      </c>
      <c r="D35">
        <v>15.4268</v>
      </c>
      <c r="E35">
        <f t="shared" si="0"/>
        <v>1.3255000000000001</v>
      </c>
      <c r="F35">
        <f t="shared" si="1"/>
        <v>15.680400000000001</v>
      </c>
      <c r="G35">
        <f t="shared" si="5"/>
        <v>11.829800075443229</v>
      </c>
      <c r="J35">
        <f t="shared" si="4"/>
        <v>0.43466898954703831</v>
      </c>
      <c r="K35">
        <v>0.81151152438666896</v>
      </c>
      <c r="L35">
        <f t="shared" si="6"/>
        <v>4.1728305985312026</v>
      </c>
      <c r="M35">
        <v>0.12844</v>
      </c>
    </row>
    <row r="36" spans="1:13" x14ac:dyDescent="0.3">
      <c r="A36">
        <v>44</v>
      </c>
      <c r="B36">
        <v>-0.25119999999999998</v>
      </c>
      <c r="C36">
        <v>1.0804</v>
      </c>
      <c r="D36">
        <v>15.4305</v>
      </c>
      <c r="E36">
        <f t="shared" si="0"/>
        <v>1.3315999999999999</v>
      </c>
      <c r="F36">
        <f t="shared" si="1"/>
        <v>15.681700000000001</v>
      </c>
      <c r="G36">
        <f t="shared" si="5"/>
        <v>11.776584559927908</v>
      </c>
      <c r="J36">
        <f t="shared" si="4"/>
        <v>0.43466898954703831</v>
      </c>
      <c r="K36">
        <v>0.8134294527</v>
      </c>
      <c r="L36">
        <f t="shared" si="6"/>
        <v>4.1638771305709552</v>
      </c>
      <c r="M36">
        <v>0.12845999999999999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刘振文</dc:creator>
  <cp:lastModifiedBy>振文 刘</cp:lastModifiedBy>
  <dcterms:created xsi:type="dcterms:W3CDTF">2015-06-05T18:19:34Z</dcterms:created>
  <dcterms:modified xsi:type="dcterms:W3CDTF">2026-10-19T15:02:53Z</dcterms:modified>
</cp:coreProperties>
</file>